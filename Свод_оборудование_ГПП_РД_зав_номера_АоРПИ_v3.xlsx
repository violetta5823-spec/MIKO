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3" autoFilterDateGrouping="1"/>
  </bookViews>
  <sheets>
    <sheet name="Свод" sheetId="1" state="visible" r:id="rId1"/>
    <sheet name="Нет зав. №" sheetId="2" state="visible" r:id="rId2"/>
    <sheet name="Пояснения" sheetId="3" state="visible" r:id="rId3"/>
    <sheet name="3120 ЭС1" sheetId="4" state="visible" r:id="rId4"/>
    <sheet name="3120 ЭС2" sheetId="5" state="visible" r:id="rId5"/>
    <sheet name="3120 ЭС3" sheetId="6" state="visible" r:id="rId6"/>
    <sheet name="3120 ЭС4" sheetId="7" state="visible" r:id="rId7"/>
    <sheet name="3120 ЭС5" sheetId="8" state="visible" r:id="rId8"/>
    <sheet name="3120 АСУЭ" sheetId="9" state="visible" r:id="rId9"/>
    <sheet name="3120 АИИСКУЭ" sheetId="10" state="visible" r:id="rId10"/>
    <sheet name="3120 ЭО" sheetId="11" state="visible" r:id="rId11"/>
    <sheet name="3120 СС" sheetId="12" state="visible" r:id="rId12"/>
    <sheet name="3121 СС" sheetId="13" state="visible" r:id="rId13"/>
    <sheet name="3121 ОС" sheetId="14" state="visible" r:id="rId14"/>
    <sheet name="3121 СКУД" sheetId="15" state="visible" r:id="rId15"/>
    <sheet name="3121 ПС" sheetId="16" state="visible" r:id="rId16"/>
    <sheet name="3121 АОВ" sheetId="17" state="visible" r:id="rId17"/>
    <sheet name="3121 АОВ1" sheetId="18" state="visible" r:id="rId18"/>
    <sheet name="3123 СС" sheetId="19" state="visible" r:id="rId19"/>
    <sheet name="3123 ОС" sheetId="20" state="visible" r:id="rId20"/>
    <sheet name="3123 СКУД" sheetId="21" state="visible" r:id="rId21"/>
    <sheet name="3123 ПС" sheetId="22" state="visible" r:id="rId22"/>
    <sheet name="3123 АОВ" sheetId="23" state="visible" r:id="rId23"/>
    <sheet name="3123 АОВ1" sheetId="24" state="visible" r:id="rId24"/>
    <sheet name="3128 ОС" sheetId="25" state="visible" r:id="rId25"/>
    <sheet name="3128 СОО" sheetId="26" state="visible" r:id="rId26"/>
    <sheet name="3128 СОТ" sheetId="27" state="visible" r:id="rId27"/>
    <sheet name="АоРПИ" sheetId="28" state="visible" r:id="rId28"/>
    <sheet name="RFI" sheetId="29" state="visible" r:id="rId29"/>
    <sheet name="Паспорта (TP)" sheetId="30" state="visible" r:id="rId30"/>
  </sheets>
  <definedNames>
    <definedName name="_xlnm._FilterDatabase" localSheetId="1" hidden="1">'Нет зав. №'!$A$4:$H$212</definedName>
    <definedName name="_xlnm._FilterDatabase" localSheetId="3" hidden="1">'3120 ЭС1'!$A$5:$R$15</definedName>
    <definedName name="_xlnm._FilterDatabase" localSheetId="4" hidden="1">'3120 ЭС2'!$A$5:$R$32</definedName>
    <definedName name="_xlnm._FilterDatabase" localSheetId="5" hidden="1">'3120 ЭС3'!$A$5:$R$31</definedName>
    <definedName name="_xlnm._FilterDatabase" localSheetId="6" hidden="1">'3120 ЭС4'!$A$5:$R$24</definedName>
    <definedName name="_xlnm._FilterDatabase" localSheetId="7" hidden="1">'3120 ЭС5'!$A$5:$R$7</definedName>
    <definedName name="_xlnm._FilterDatabase" localSheetId="8" hidden="1">'3120 АСУЭ'!$A$5:$R$40</definedName>
    <definedName name="_xlnm._FilterDatabase" localSheetId="9" hidden="1">'3120 АИИСКУЭ'!$A$5:$R$24</definedName>
    <definedName name="_xlnm._FilterDatabase" localSheetId="10" hidden="1">'3120 ЭО'!$A$5:$R$31</definedName>
    <definedName name="_xlnm._FilterDatabase" localSheetId="11" hidden="1">'3120 СС'!$A$5:$R$8</definedName>
    <definedName name="_xlnm._FilterDatabase" localSheetId="12" hidden="1">'3121 СС'!$A$5:$R$21</definedName>
    <definedName name="_xlnm._FilterDatabase" localSheetId="13" hidden="1">'3121 ОС'!$A$5:$R$18</definedName>
    <definedName name="_xlnm._FilterDatabase" localSheetId="14" hidden="1">'3121 СКУД'!$A$5:$R$15</definedName>
    <definedName name="_xlnm._FilterDatabase" localSheetId="15" hidden="1">'3121 ПС'!$A$5:$R$20</definedName>
    <definedName name="_xlnm._FilterDatabase" localSheetId="16" hidden="1">'3121 АОВ'!$A$5:$R$12</definedName>
    <definedName name="_xlnm._FilterDatabase" localSheetId="17" hidden="1">'3121 АОВ1'!$A$5:$R$13</definedName>
    <definedName name="_xlnm._FilterDatabase" localSheetId="18" hidden="1">'3123 СС'!$A$5:$R$9</definedName>
    <definedName name="_xlnm._FilterDatabase" localSheetId="19" hidden="1">'3123 ОС'!$A$5:$R$9</definedName>
    <definedName name="_xlnm._FilterDatabase" localSheetId="20" hidden="1">'3123 СКУД'!$A$5:$R$11</definedName>
    <definedName name="_xlnm._FilterDatabase" localSheetId="21" hidden="1">'3123 ПС'!$A$5:$R$13</definedName>
    <definedName name="_xlnm._FilterDatabase" localSheetId="22" hidden="1">'3123 АОВ'!$A$5:$R$8</definedName>
    <definedName name="_xlnm._FilterDatabase" localSheetId="23" hidden="1">'3123 АОВ1'!$A$5:$R$9</definedName>
    <definedName name="_xlnm._FilterDatabase" localSheetId="24" hidden="1">'3128 ОС'!$A$5:$R$14</definedName>
    <definedName name="_xlnm._FilterDatabase" localSheetId="25" hidden="1">'3128 СОО'!$A$5:$R$9</definedName>
    <definedName name="_xlnm._FilterDatabase" localSheetId="26" hidden="1">'3128 СОТ'!$A$5:$R$8</definedName>
    <definedName name="_xlnm._FilterDatabase" localSheetId="27" hidden="1">'АоРПИ'!$A$4:$H$69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i val="1"/>
      <sz val="9"/>
    </font>
    <font>
      <name val="Arial"/>
      <charset val="1"/>
      <color rgb="FF0563C1"/>
      <sz val="10"/>
      <u val="single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sz val="9"/>
    </font>
    <font>
      <name val="Arial"/>
      <charset val="1"/>
      <b val="1"/>
      <sz val="12"/>
    </font>
    <font>
      <name val="Arial"/>
      <charset val="1"/>
      <sz val="11"/>
    </font>
    <font>
      <name val="Noto Sans CJK SC"/>
      <family val="2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CCFFFF"/>
      </patternFill>
    </fill>
    <fill>
      <patternFill patternType="solid">
        <fgColor rgb="FFEDEDED"/>
        <bgColor rgb="FFFFFFFF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Обычный" xfId="0" builtinId="0"/>
  </cellStyles>
  <dxfs count="96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0.10.106.144:8080/f/6518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10.10.106.144:8080/f/1087063" TargetMode="External" Id="rId1" /><Relationship Type="http://schemas.openxmlformats.org/officeDocument/2006/relationships/hyperlink" Target="https://10.10.106.144:8080/f/1087063" TargetMode="External" Id="rId2" /><Relationship Type="http://schemas.openxmlformats.org/officeDocument/2006/relationships/hyperlink" Target="https://10.10.106.144:8080/f/1087063" TargetMode="External" Id="rId3" /><Relationship Type="http://schemas.openxmlformats.org/officeDocument/2006/relationships/hyperlink" Target="https://10.10.106.144:8080/f/1087063" TargetMode="External" Id="rId4" /><Relationship Type="http://schemas.openxmlformats.org/officeDocument/2006/relationships/hyperlink" Target="https://10.10.106.144:8080/f/1100145" TargetMode="External" Id="rId5" /><Relationship Type="http://schemas.openxmlformats.org/officeDocument/2006/relationships/hyperlink" Target="https://10.10.106.144:8080/f/1361517" TargetMode="External" Id="rId6" /><Relationship Type="http://schemas.openxmlformats.org/officeDocument/2006/relationships/hyperlink" Target="https://10.10.106.144:8080/f/3268643" TargetMode="External" Id="rId7" /><Relationship Type="http://schemas.openxmlformats.org/officeDocument/2006/relationships/hyperlink" Target="https://10.10.106.144:8080/f/3506682" TargetMode="External" Id="rId8" /><Relationship Type="http://schemas.openxmlformats.org/officeDocument/2006/relationships/hyperlink" Target="https://10.10.106.144:8080/f/1087601" TargetMode="External" Id="rId9" /><Relationship Type="http://schemas.openxmlformats.org/officeDocument/2006/relationships/hyperlink" Target="https://10.10.106.144:8080/f/1087601" TargetMode="External" Id="rId10" /><Relationship Type="http://schemas.openxmlformats.org/officeDocument/2006/relationships/hyperlink" Target="https://10.10.106.144:8080/f/1087601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10.10.106.144:8080/f/1180050" TargetMode="External" Id="rId1" /><Relationship Type="http://schemas.openxmlformats.org/officeDocument/2006/relationships/hyperlink" Target="https://10.10.106.144:8080/f/1848647" TargetMode="External" Id="rId2" /><Relationship Type="http://schemas.openxmlformats.org/officeDocument/2006/relationships/hyperlink" Target="https://10.10.106.144:8080/f/1180050" TargetMode="External" Id="rId3" /><Relationship Type="http://schemas.openxmlformats.org/officeDocument/2006/relationships/hyperlink" Target="https://10.10.106.144:8080/f/1848647" TargetMode="External" Id="rId4" /><Relationship Type="http://schemas.openxmlformats.org/officeDocument/2006/relationships/hyperlink" Target="https://10.10.106.144:8080/f/1180050" TargetMode="External" Id="rId5" /><Relationship Type="http://schemas.openxmlformats.org/officeDocument/2006/relationships/hyperlink" Target="https://10.10.106.144:8080/f/1848647" TargetMode="External" Id="rId6" /><Relationship Type="http://schemas.openxmlformats.org/officeDocument/2006/relationships/hyperlink" Target="https://10.10.106.144:8080/f/1180050" TargetMode="External" Id="rId7" /><Relationship Type="http://schemas.openxmlformats.org/officeDocument/2006/relationships/hyperlink" Target="https://10.10.106.144:8080/f/1848647" TargetMode="External" Id="rId8" /><Relationship Type="http://schemas.openxmlformats.org/officeDocument/2006/relationships/hyperlink" Target="https://10.10.106.144:8080/f/1180050" TargetMode="External" Id="rId9" /><Relationship Type="http://schemas.openxmlformats.org/officeDocument/2006/relationships/hyperlink" Target="https://10.10.106.144:8080/f/1848647" TargetMode="External" Id="rId10" /><Relationship Type="http://schemas.openxmlformats.org/officeDocument/2006/relationships/hyperlink" Target="https://10.10.106.144:8080/f/1180050" TargetMode="External" Id="rId11" /><Relationship Type="http://schemas.openxmlformats.org/officeDocument/2006/relationships/hyperlink" Target="https://10.10.106.144:8080/f/1848647" TargetMode="External" Id="rId12" /><Relationship Type="http://schemas.openxmlformats.org/officeDocument/2006/relationships/hyperlink" Target="https://10.10.106.144:8080/f/1180050" TargetMode="External" Id="rId13" /><Relationship Type="http://schemas.openxmlformats.org/officeDocument/2006/relationships/hyperlink" Target="https://10.10.106.144:8080/f/1848647" TargetMode="External" Id="rId14" /><Relationship Type="http://schemas.openxmlformats.org/officeDocument/2006/relationships/hyperlink" Target="https://10.10.106.144:8080/f/1180050" TargetMode="External" Id="rId15" /><Relationship Type="http://schemas.openxmlformats.org/officeDocument/2006/relationships/hyperlink" Target="https://10.10.106.144:8080/f/1848647" TargetMode="External" Id="rId16" /><Relationship Type="http://schemas.openxmlformats.org/officeDocument/2006/relationships/hyperlink" Target="https://10.10.106.144:8080/f/1180050" TargetMode="External" Id="rId17" /><Relationship Type="http://schemas.openxmlformats.org/officeDocument/2006/relationships/hyperlink" Target="https://10.10.106.144:8080/f/1848647" TargetMode="External" Id="rId18" /><Relationship Type="http://schemas.openxmlformats.org/officeDocument/2006/relationships/hyperlink" Target="https://10.10.106.144:8080/f/1180050" TargetMode="External" Id="rId19" /><Relationship Type="http://schemas.openxmlformats.org/officeDocument/2006/relationships/hyperlink" Target="https://10.10.106.144:8080/f/1848647" TargetMode="External" Id="rId20" /><Relationship Type="http://schemas.openxmlformats.org/officeDocument/2006/relationships/hyperlink" Target="https://10.10.106.144:8080/f/1180050" TargetMode="External" Id="rId21" /><Relationship Type="http://schemas.openxmlformats.org/officeDocument/2006/relationships/hyperlink" Target="https://10.10.106.144:8080/f/1848647" TargetMode="External" Id="rId22" /><Relationship Type="http://schemas.openxmlformats.org/officeDocument/2006/relationships/hyperlink" Target="https://10.10.106.144:8080/f/1180050" TargetMode="External" Id="rId23" /><Relationship Type="http://schemas.openxmlformats.org/officeDocument/2006/relationships/hyperlink" Target="https://10.10.106.144:8080/f/1848647" TargetMode="External" Id="rId24" /><Relationship Type="http://schemas.openxmlformats.org/officeDocument/2006/relationships/hyperlink" Target="https://10.10.106.144:8080/f/1180050" TargetMode="External" Id="rId25" /><Relationship Type="http://schemas.openxmlformats.org/officeDocument/2006/relationships/hyperlink" Target="https://10.10.106.144:8080/f/1848647" TargetMode="External" Id="rId26" /><Relationship Type="http://schemas.openxmlformats.org/officeDocument/2006/relationships/hyperlink" Target="https://10.10.106.144:8080/f/1180050" TargetMode="External" Id="rId27" /><Relationship Type="http://schemas.openxmlformats.org/officeDocument/2006/relationships/hyperlink" Target="https://10.10.106.144:8080/f/1848647" TargetMode="External" Id="rId28" /><Relationship Type="http://schemas.openxmlformats.org/officeDocument/2006/relationships/hyperlink" Target="https://10.10.106.144:8080/f/1180050" TargetMode="External" Id="rId29" /><Relationship Type="http://schemas.openxmlformats.org/officeDocument/2006/relationships/hyperlink" Target="https://10.10.106.144:8080/f/1848647" TargetMode="External" Id="rId30" /><Relationship Type="http://schemas.openxmlformats.org/officeDocument/2006/relationships/hyperlink" Target="https://10.10.106.144:8080/f/1180050" TargetMode="External" Id="rId31" /><Relationship Type="http://schemas.openxmlformats.org/officeDocument/2006/relationships/hyperlink" Target="https://10.10.106.144:8080/f/1848647" TargetMode="External" Id="rId32" /><Relationship Type="http://schemas.openxmlformats.org/officeDocument/2006/relationships/hyperlink" Target="https://10.10.106.144:8080/f/1180050" TargetMode="External" Id="rId33" /><Relationship Type="http://schemas.openxmlformats.org/officeDocument/2006/relationships/hyperlink" Target="https://10.10.106.144:8080/f/1848647" TargetMode="External" Id="rId34" /><Relationship Type="http://schemas.openxmlformats.org/officeDocument/2006/relationships/hyperlink" Target="https://10.10.106.144:8080/f/1180050" TargetMode="External" Id="rId35" /><Relationship Type="http://schemas.openxmlformats.org/officeDocument/2006/relationships/hyperlink" Target="https://10.10.106.144:8080/f/1848647" TargetMode="External" Id="rId36" /><Relationship Type="http://schemas.openxmlformats.org/officeDocument/2006/relationships/hyperlink" Target="https://10.10.106.144:8080/f/1180050" TargetMode="External" Id="rId37" /><Relationship Type="http://schemas.openxmlformats.org/officeDocument/2006/relationships/hyperlink" Target="https://10.10.106.144:8080/f/1848647" TargetMode="External" Id="rId38" /><Relationship Type="http://schemas.openxmlformats.org/officeDocument/2006/relationships/hyperlink" Target="https://10.10.106.144:8080/f/1180050" TargetMode="External" Id="rId39" /><Relationship Type="http://schemas.openxmlformats.org/officeDocument/2006/relationships/hyperlink" Target="https://10.10.106.144:8080/f/1848647" TargetMode="External" Id="rId40" /><Relationship Type="http://schemas.openxmlformats.org/officeDocument/2006/relationships/hyperlink" Target="https://10.10.106.144:8080/f/1180050" TargetMode="External" Id="rId41" /><Relationship Type="http://schemas.openxmlformats.org/officeDocument/2006/relationships/hyperlink" Target="https://10.10.106.144:8080/f/1848647" TargetMode="External" Id="rId42" /><Relationship Type="http://schemas.openxmlformats.org/officeDocument/2006/relationships/hyperlink" Target="https://10.10.106.144:8080/f/1180050" TargetMode="External" Id="rId43" /><Relationship Type="http://schemas.openxmlformats.org/officeDocument/2006/relationships/hyperlink" Target="https://10.10.106.144:8080/f/1848647" TargetMode="External" Id="rId44" /><Relationship Type="http://schemas.openxmlformats.org/officeDocument/2006/relationships/hyperlink" Target="https://10.10.106.144:8080/f/1180050" TargetMode="External" Id="rId45" /><Relationship Type="http://schemas.openxmlformats.org/officeDocument/2006/relationships/hyperlink" Target="https://10.10.106.144:8080/f/1848647" TargetMode="External" Id="rId46" /><Relationship Type="http://schemas.openxmlformats.org/officeDocument/2006/relationships/hyperlink" Target="https://10.10.106.144:8080/f/1180050" TargetMode="External" Id="rId47" /><Relationship Type="http://schemas.openxmlformats.org/officeDocument/2006/relationships/hyperlink" Target="https://10.10.106.144:8080/f/1848647" TargetMode="External" Id="rId48" /><Relationship Type="http://schemas.openxmlformats.org/officeDocument/2006/relationships/hyperlink" Target="https://10.10.106.144:8080/f/1082321" TargetMode="External" Id="rId49" /><Relationship Type="http://schemas.openxmlformats.org/officeDocument/2006/relationships/hyperlink" Target="https://10.10.106.144:8080/f/1848653" TargetMode="External" Id="rId50" /><Relationship Type="http://schemas.openxmlformats.org/officeDocument/2006/relationships/hyperlink" Target="https://10.10.106.144:8080/f/1082321" TargetMode="External" Id="rId51" /><Relationship Type="http://schemas.openxmlformats.org/officeDocument/2006/relationships/hyperlink" Target="https://10.10.106.144:8080/f/1848653" TargetMode="External" Id="rId52" /><Relationship Type="http://schemas.openxmlformats.org/officeDocument/2006/relationships/hyperlink" Target="https://10.10.106.144:8080/f/1082321" TargetMode="External" Id="rId53" /><Relationship Type="http://schemas.openxmlformats.org/officeDocument/2006/relationships/hyperlink" Target="https://10.10.106.144:8080/f/1848653" TargetMode="External" Id="rId54" /></Relationships>
</file>

<file path=xl/worksheets/_rels/sheet6.xml.rels><Relationships xmlns="http://schemas.openxmlformats.org/package/2006/relationships"><Relationship Type="http://schemas.openxmlformats.org/officeDocument/2006/relationships/hyperlink" Target="https://10.10.106.144:8080/f/1180050" TargetMode="External" Id="rId1" /><Relationship Type="http://schemas.openxmlformats.org/officeDocument/2006/relationships/hyperlink" Target="https://10.10.106.144:8080/f/1492088" TargetMode="External" Id="rId2" /><Relationship Type="http://schemas.openxmlformats.org/officeDocument/2006/relationships/hyperlink" Target="https://10.10.106.144:8080/f/1106951" TargetMode="External" Id="rId3" /><Relationship Type="http://schemas.openxmlformats.org/officeDocument/2006/relationships/hyperlink" Target="https://10.10.106.144:8080/f/1848649" TargetMode="External" Id="rId4" /><Relationship Type="http://schemas.openxmlformats.org/officeDocument/2006/relationships/hyperlink" Target="https://10.10.106.144:8080/f/1183944" TargetMode="External" Id="rId5" /><Relationship Type="http://schemas.openxmlformats.org/officeDocument/2006/relationships/hyperlink" Target="https://10.10.106.144:8080/f/3491530" TargetMode="External" Id="rId6" /><Relationship Type="http://schemas.openxmlformats.org/officeDocument/2006/relationships/hyperlink" Target="https://10.10.106.144:8080/f/1192836" TargetMode="External" Id="rId7" /><Relationship Type="http://schemas.openxmlformats.org/officeDocument/2006/relationships/hyperlink" Target="https://10.10.106.144:8080/f/1491991" TargetMode="External" Id="rId8" /><Relationship Type="http://schemas.openxmlformats.org/officeDocument/2006/relationships/hyperlink" Target="https://10.10.106.144:8080/f/1192836" TargetMode="External" Id="rId9" /><Relationship Type="http://schemas.openxmlformats.org/officeDocument/2006/relationships/hyperlink" Target="https://10.10.106.144:8080/f/1491991" TargetMode="External" Id="rId10" /><Relationship Type="http://schemas.openxmlformats.org/officeDocument/2006/relationships/hyperlink" Target="https://10.10.106.144:8080/f/1192836" TargetMode="External" Id="rId11" /><Relationship Type="http://schemas.openxmlformats.org/officeDocument/2006/relationships/hyperlink" Target="https://10.10.106.144:8080/f/1491991" TargetMode="External" Id="rId12" /><Relationship Type="http://schemas.openxmlformats.org/officeDocument/2006/relationships/hyperlink" Target="https://10.10.106.144:8080/f/1097857" TargetMode="External" Id="rId13" /><Relationship Type="http://schemas.openxmlformats.org/officeDocument/2006/relationships/hyperlink" Target="https://10.10.106.144:8080/f/1538294" TargetMode="External" Id="rId14" /><Relationship Type="http://schemas.openxmlformats.org/officeDocument/2006/relationships/hyperlink" Target="https://10.10.106.144:8080/f/1097857" TargetMode="External" Id="rId15" /><Relationship Type="http://schemas.openxmlformats.org/officeDocument/2006/relationships/hyperlink" Target="https://10.10.106.144:8080/f/1538294" TargetMode="External" Id="rId16" /><Relationship Type="http://schemas.openxmlformats.org/officeDocument/2006/relationships/hyperlink" Target="https://10.10.106.144:8080/f/1646357" TargetMode="External" Id="rId17" /><Relationship Type="http://schemas.openxmlformats.org/officeDocument/2006/relationships/hyperlink" Target="https://10.10.106.144:8080/f/3945958" TargetMode="External" Id="rId18" /><Relationship Type="http://schemas.openxmlformats.org/officeDocument/2006/relationships/hyperlink" Target="https://10.10.106.144:8080/f/1646357" TargetMode="External" Id="rId19" /><Relationship Type="http://schemas.openxmlformats.org/officeDocument/2006/relationships/hyperlink" Target="https://10.10.106.144:8080/f/3945958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s://10.10.106.144:8080/f/1174008" TargetMode="External" Id="rId1" /><Relationship Type="http://schemas.openxmlformats.org/officeDocument/2006/relationships/hyperlink" Target="https://10.10.106.144:8080/f/1492063" TargetMode="External" Id="rId2" /><Relationship Type="http://schemas.openxmlformats.org/officeDocument/2006/relationships/hyperlink" Target="https://10.10.106.144:8080/f/1174008" TargetMode="External" Id="rId3" /><Relationship Type="http://schemas.openxmlformats.org/officeDocument/2006/relationships/hyperlink" Target="https://10.10.106.144:8080/f/1492063" TargetMode="External" Id="rId4" /><Relationship Type="http://schemas.openxmlformats.org/officeDocument/2006/relationships/hyperlink" Target="https://10.10.106.144:8080/f/1174008" TargetMode="External" Id="rId5" /><Relationship Type="http://schemas.openxmlformats.org/officeDocument/2006/relationships/hyperlink" Target="https://10.10.106.144:8080/f/1492063" TargetMode="External" Id="rId6" /><Relationship Type="http://schemas.openxmlformats.org/officeDocument/2006/relationships/hyperlink" Target="https://10.10.106.144:8080/f/1174008" TargetMode="External" Id="rId7" /><Relationship Type="http://schemas.openxmlformats.org/officeDocument/2006/relationships/hyperlink" Target="https://10.10.106.144:8080/f/1492063" TargetMode="External" Id="rId8" /><Relationship Type="http://schemas.openxmlformats.org/officeDocument/2006/relationships/hyperlink" Target="https://10.10.106.144:8080/f/1174008" TargetMode="External" Id="rId9" /><Relationship Type="http://schemas.openxmlformats.org/officeDocument/2006/relationships/hyperlink" Target="https://10.10.106.144:8080/f/1492063" TargetMode="External" Id="rId10" /><Relationship Type="http://schemas.openxmlformats.org/officeDocument/2006/relationships/hyperlink" Target="https://10.10.106.144:8080/f/1174008" TargetMode="External" Id="rId11" /><Relationship Type="http://schemas.openxmlformats.org/officeDocument/2006/relationships/hyperlink" Target="https://10.10.106.144:8080/f/1492063" TargetMode="External" Id="rId12" /><Relationship Type="http://schemas.openxmlformats.org/officeDocument/2006/relationships/hyperlink" Target="https://10.10.106.144:8080/f/1174008" TargetMode="External" Id="rId13" /><Relationship Type="http://schemas.openxmlformats.org/officeDocument/2006/relationships/hyperlink" Target="https://10.10.106.144:8080/f/1492063" TargetMode="External" Id="rId14" /><Relationship Type="http://schemas.openxmlformats.org/officeDocument/2006/relationships/hyperlink" Target="https://10.10.106.144:8080/f/1174008" TargetMode="External" Id="rId15" /><Relationship Type="http://schemas.openxmlformats.org/officeDocument/2006/relationships/hyperlink" Target="https://10.10.106.144:8080/f/1492063" TargetMode="External" Id="rId16" /><Relationship Type="http://schemas.openxmlformats.org/officeDocument/2006/relationships/hyperlink" Target="https://10.10.106.144:8080/f/1174008" TargetMode="External" Id="rId17" /><Relationship Type="http://schemas.openxmlformats.org/officeDocument/2006/relationships/hyperlink" Target="https://10.10.106.144:8080/f/1492063" TargetMode="External" Id="rId18" /><Relationship Type="http://schemas.openxmlformats.org/officeDocument/2006/relationships/hyperlink" Target="https://10.10.106.144:8080/f/1174008" TargetMode="External" Id="rId19" /><Relationship Type="http://schemas.openxmlformats.org/officeDocument/2006/relationships/hyperlink" Target="https://10.10.106.144:8080/f/1492063" TargetMode="External" Id="rId20" /><Relationship Type="http://schemas.openxmlformats.org/officeDocument/2006/relationships/hyperlink" Target="https://10.10.106.144:8080/f/1174008" TargetMode="External" Id="rId21" /><Relationship Type="http://schemas.openxmlformats.org/officeDocument/2006/relationships/hyperlink" Target="https://10.10.106.144:8080/f/1492063" TargetMode="External" Id="rId22" /><Relationship Type="http://schemas.openxmlformats.org/officeDocument/2006/relationships/hyperlink" Target="https://10.10.106.144:8080/f/1174008" TargetMode="External" Id="rId23" /><Relationship Type="http://schemas.openxmlformats.org/officeDocument/2006/relationships/hyperlink" Target="https://10.10.106.144:8080/f/1492063" TargetMode="External" Id="rId24" /><Relationship Type="http://schemas.openxmlformats.org/officeDocument/2006/relationships/hyperlink" Target="https://10.10.106.144:8080/f/1174008" TargetMode="External" Id="rId25" /><Relationship Type="http://schemas.openxmlformats.org/officeDocument/2006/relationships/hyperlink" Target="https://10.10.106.144:8080/f/1492063" TargetMode="External" Id="rId26" /><Relationship Type="http://schemas.openxmlformats.org/officeDocument/2006/relationships/hyperlink" Target="https://10.10.106.144:8080/f/1174008" TargetMode="External" Id="rId27" /><Relationship Type="http://schemas.openxmlformats.org/officeDocument/2006/relationships/hyperlink" Target="https://10.10.106.144:8080/f/1492063" TargetMode="External" Id="rId28" /><Relationship Type="http://schemas.openxmlformats.org/officeDocument/2006/relationships/hyperlink" Target="https://10.10.106.144:8080/f/1174008" TargetMode="External" Id="rId29" /><Relationship Type="http://schemas.openxmlformats.org/officeDocument/2006/relationships/hyperlink" Target="https://10.10.106.144:8080/f/1492063" TargetMode="External" Id="rId30" /><Relationship Type="http://schemas.openxmlformats.org/officeDocument/2006/relationships/hyperlink" Target="https://10.10.106.144:8080/f/1174008" TargetMode="External" Id="rId31" /><Relationship Type="http://schemas.openxmlformats.org/officeDocument/2006/relationships/hyperlink" Target="https://10.10.106.144:8080/f/1492063" TargetMode="External" Id="rId32" /></Relationships>
</file>

<file path=xl/worksheets/_rels/sheet9.xml.rels><Relationships xmlns="http://schemas.openxmlformats.org/package/2006/relationships"><Relationship Type="http://schemas.openxmlformats.org/officeDocument/2006/relationships/hyperlink" Target="https://10.10.106.144:8080/f/1174008" TargetMode="External" Id="rId1" /><Relationship Type="http://schemas.openxmlformats.org/officeDocument/2006/relationships/hyperlink" Target="https://10.10.106.144:8080/f/1974351" TargetMode="External" Id="rId2" /><Relationship Type="http://schemas.openxmlformats.org/officeDocument/2006/relationships/hyperlink" Target="https://10.10.106.144:8080/f/1174008" TargetMode="External" Id="rId3" /><Relationship Type="http://schemas.openxmlformats.org/officeDocument/2006/relationships/hyperlink" Target="https://10.10.106.144:8080/f/1974351" TargetMode="External" Id="rId4" /><Relationship Type="http://schemas.openxmlformats.org/officeDocument/2006/relationships/hyperlink" Target="https://10.10.106.144:8080/f/1174008" TargetMode="External" Id="rId5" /><Relationship Type="http://schemas.openxmlformats.org/officeDocument/2006/relationships/hyperlink" Target="https://10.10.106.144:8080/f/1974351" TargetMode="External" Id="rId6" /><Relationship Type="http://schemas.openxmlformats.org/officeDocument/2006/relationships/hyperlink" Target="https://10.10.106.144:8080/f/1174008" TargetMode="External" Id="rId7" /><Relationship Type="http://schemas.openxmlformats.org/officeDocument/2006/relationships/hyperlink" Target="https://10.10.106.144:8080/f/1974351" TargetMode="External" Id="rId8" /><Relationship Type="http://schemas.openxmlformats.org/officeDocument/2006/relationships/hyperlink" Target="https://10.10.106.144:8080/f/1174008" TargetMode="External" Id="rId9" /><Relationship Type="http://schemas.openxmlformats.org/officeDocument/2006/relationships/hyperlink" Target="https://10.10.106.144:8080/f/1974351" TargetMode="External" Id="rId10" /><Relationship Type="http://schemas.openxmlformats.org/officeDocument/2006/relationships/hyperlink" Target="https://10.10.106.144:8080/f/1174008" TargetMode="External" Id="rId11" /><Relationship Type="http://schemas.openxmlformats.org/officeDocument/2006/relationships/hyperlink" Target="https://10.10.106.144:8080/f/1974351" TargetMode="External" Id="rId12" /><Relationship Type="http://schemas.openxmlformats.org/officeDocument/2006/relationships/hyperlink" Target="https://10.10.106.144:8080/f/1174008" TargetMode="External" Id="rId13" /><Relationship Type="http://schemas.openxmlformats.org/officeDocument/2006/relationships/hyperlink" Target="https://10.10.106.144:8080/f/1974351" TargetMode="External" Id="rId14" /><Relationship Type="http://schemas.openxmlformats.org/officeDocument/2006/relationships/hyperlink" Target="https://10.10.106.144:8080/f/1174008" TargetMode="External" Id="rId15" /><Relationship Type="http://schemas.openxmlformats.org/officeDocument/2006/relationships/hyperlink" Target="https://10.10.106.144:8080/f/1974351" TargetMode="External" Id="rId16" /><Relationship Type="http://schemas.openxmlformats.org/officeDocument/2006/relationships/hyperlink" Target="https://10.10.106.144:8080/f/1174008" TargetMode="External" Id="rId17" /><Relationship Type="http://schemas.openxmlformats.org/officeDocument/2006/relationships/hyperlink" Target="https://10.10.106.144:8080/f/1974351" TargetMode="External" Id="rId18" /><Relationship Type="http://schemas.openxmlformats.org/officeDocument/2006/relationships/hyperlink" Target="https://10.10.106.144:8080/f/1174008" TargetMode="External" Id="rId19" /><Relationship Type="http://schemas.openxmlformats.org/officeDocument/2006/relationships/hyperlink" Target="https://10.10.106.144:8080/f/1974351" TargetMode="External" Id="rId20" /><Relationship Type="http://schemas.openxmlformats.org/officeDocument/2006/relationships/hyperlink" Target="https://10.10.106.144:8080/f/1174008" TargetMode="External" Id="rId21" /><Relationship Type="http://schemas.openxmlformats.org/officeDocument/2006/relationships/hyperlink" Target="https://10.10.106.144:8080/f/1974351" TargetMode="External" Id="rId22" /><Relationship Type="http://schemas.openxmlformats.org/officeDocument/2006/relationships/hyperlink" Target="https://10.10.106.144:8080/f/1174008" TargetMode="External" Id="rId23" /><Relationship Type="http://schemas.openxmlformats.org/officeDocument/2006/relationships/hyperlink" Target="https://10.10.106.144:8080/f/1974351" TargetMode="External" Id="rId24" /><Relationship Type="http://schemas.openxmlformats.org/officeDocument/2006/relationships/hyperlink" Target="https://10.10.106.144:8080/f/1174008" TargetMode="External" Id="rId25" /><Relationship Type="http://schemas.openxmlformats.org/officeDocument/2006/relationships/hyperlink" Target="https://10.10.106.144:8080/f/1974351" TargetMode="External" Id="rId26" /><Relationship Type="http://schemas.openxmlformats.org/officeDocument/2006/relationships/hyperlink" Target="https://10.10.106.144:8080/f/1136398" TargetMode="External" Id="rId27" /><Relationship Type="http://schemas.openxmlformats.org/officeDocument/2006/relationships/hyperlink" Target="https://10.10.106.144:8080/f/1974351" TargetMode="External" Id="rId28" /><Relationship Type="http://schemas.openxmlformats.org/officeDocument/2006/relationships/hyperlink" Target="https://10.10.106.144:8080/f/1136398" TargetMode="External" Id="rId29" /><Relationship Type="http://schemas.openxmlformats.org/officeDocument/2006/relationships/hyperlink" Target="https://10.10.106.144:8080/f/1974351" TargetMode="External" Id="rId30" /><Relationship Type="http://schemas.openxmlformats.org/officeDocument/2006/relationships/hyperlink" Target="https://10.10.106.144:8080/f/1136398" TargetMode="External" Id="rId31" /><Relationship Type="http://schemas.openxmlformats.org/officeDocument/2006/relationships/hyperlink" Target="https://10.10.106.144:8080/f/1974351" TargetMode="External" Id="rId32" /><Relationship Type="http://schemas.openxmlformats.org/officeDocument/2006/relationships/hyperlink" Target="https://10.10.106.144:8080/f/1174008" TargetMode="External" Id="rId33" /><Relationship Type="http://schemas.openxmlformats.org/officeDocument/2006/relationships/hyperlink" Target="https://10.10.106.144:8080/f/1974351" TargetMode="External" Id="rId34" /><Relationship Type="http://schemas.openxmlformats.org/officeDocument/2006/relationships/hyperlink" Target="https://10.10.106.144:8080/f/1084094" TargetMode="External" Id="rId35" /><Relationship Type="http://schemas.openxmlformats.org/officeDocument/2006/relationships/hyperlink" Target="https://10.10.106.144:8080/f/4243862" TargetMode="External" Id="rId36" /><Relationship Type="http://schemas.openxmlformats.org/officeDocument/2006/relationships/hyperlink" Target="https://10.10.106.144:8080/f/4243862" TargetMode="External" Id="rId37" /></Relationships>
</file>

<file path=xl/worksheets/_rels/sheet10.xml.rels><Relationships xmlns="http://schemas.openxmlformats.org/package/2006/relationships"><Relationship Type="http://schemas.openxmlformats.org/officeDocument/2006/relationships/hyperlink" Target="https://10.10.106.144:8080/f/1174008" TargetMode="External" Id="rId1" /><Relationship Type="http://schemas.openxmlformats.org/officeDocument/2006/relationships/hyperlink" Target="https://10.10.106.144:8080/f/1538279" TargetMode="External" Id="rId2" /><Relationship Type="http://schemas.openxmlformats.org/officeDocument/2006/relationships/hyperlink" Target="https://10.10.106.144:8080/f/1174008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https://10.10.106.144:8080/f/1901936" TargetMode="External" Id="rId1" /><Relationship Type="http://schemas.openxmlformats.org/officeDocument/2006/relationships/hyperlink" Target="https://10.10.106.144:8080/f/1901936" TargetMode="External" Id="rId2" /><Relationship Type="http://schemas.openxmlformats.org/officeDocument/2006/relationships/hyperlink" Target="https://10.10.106.144:8080/f/1901936" TargetMode="External" Id="rId3" /><Relationship Type="http://schemas.openxmlformats.org/officeDocument/2006/relationships/hyperlink" Target="https://10.10.106.144:8080/f/1901936" TargetMode="External" Id="rId4" /><Relationship Type="http://schemas.openxmlformats.org/officeDocument/2006/relationships/hyperlink" Target="https://10.10.106.144:8080/f/1901936" TargetMode="External" Id="rId5" /><Relationship Type="http://schemas.openxmlformats.org/officeDocument/2006/relationships/hyperlink" Target="https://10.10.106.144:8080/f/1901936" TargetMode="External" Id="rId6" /><Relationship Type="http://schemas.openxmlformats.org/officeDocument/2006/relationships/hyperlink" Target="https://10.10.106.144:8080/f/1901936" TargetMode="External" Id="rId7" /><Relationship Type="http://schemas.openxmlformats.org/officeDocument/2006/relationships/hyperlink" Target="https://10.10.106.144:8080/f/1130607" TargetMode="External" Id="rId8" /><Relationship Type="http://schemas.openxmlformats.org/officeDocument/2006/relationships/hyperlink" Target="https://10.10.106.144:8080/f/4243864" TargetMode="External" Id="rId9" /><Relationship Type="http://schemas.openxmlformats.org/officeDocument/2006/relationships/hyperlink" Target="https://10.10.106.144:8080/f/4243864" TargetMode="External" Id="rId10" /><Relationship Type="http://schemas.openxmlformats.org/officeDocument/2006/relationships/hyperlink" Target="https://10.10.106.144:8080/f/4243864" TargetMode="External" Id="rId11" /></Relationships>
</file>

<file path=xl/worksheets/_rels/sheet12.xml.rels><Relationships xmlns="http://schemas.openxmlformats.org/package/2006/relationships"><Relationship Type="http://schemas.openxmlformats.org/officeDocument/2006/relationships/hyperlink" Target="https://10.10.106.144:8080/f/11066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10.10.106.144:8080/f/1106633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4243350" TargetMode="External" Id="rId3" /><Relationship Type="http://schemas.openxmlformats.org/officeDocument/2006/relationships/hyperlink" Target="https://10.10.106.144:8080/f/4259112" TargetMode="External" Id="rId4" /><Relationship Type="http://schemas.openxmlformats.org/officeDocument/2006/relationships/hyperlink" Target="https://10.10.106.144:8080/f/4243350" TargetMode="External" Id="rId5" /><Relationship Type="http://schemas.openxmlformats.org/officeDocument/2006/relationships/hyperlink" Target="https://10.10.106.144:8080/f/1106633" TargetMode="External" Id="rId6" /><Relationship Type="http://schemas.openxmlformats.org/officeDocument/2006/relationships/hyperlink" Target="https://10.10.106.144:8080/f/4243350" TargetMode="External" Id="rId7" /><Relationship Type="http://schemas.openxmlformats.org/officeDocument/2006/relationships/hyperlink" Target="https://10.10.106.144:8080/f/1106633" TargetMode="External" Id="rId8" /><Relationship Type="http://schemas.openxmlformats.org/officeDocument/2006/relationships/hyperlink" Target="https://10.10.106.144:8080/f/4243350" TargetMode="External" Id="rId9" /><Relationship Type="http://schemas.openxmlformats.org/officeDocument/2006/relationships/hyperlink" Target="https://10.10.106.144:8080/f/1106633" TargetMode="External" Id="rId10" /><Relationship Type="http://schemas.openxmlformats.org/officeDocument/2006/relationships/hyperlink" Target="https://10.10.106.144:8080/f/4243350" TargetMode="External" Id="rId11" /><Relationship Type="http://schemas.openxmlformats.org/officeDocument/2006/relationships/hyperlink" Target="https://10.10.106.144:8080/f/4243350" TargetMode="External" Id="rId12" /><Relationship Type="http://schemas.openxmlformats.org/officeDocument/2006/relationships/hyperlink" Target="https://10.10.106.144:8080/f/4243350" TargetMode="External" Id="rId13" /><Relationship Type="http://schemas.openxmlformats.org/officeDocument/2006/relationships/hyperlink" Target="https://10.10.106.144:8080/f/4259112" TargetMode="External" Id="rId14" /><Relationship Type="http://schemas.openxmlformats.org/officeDocument/2006/relationships/hyperlink" Target="https://10.10.106.144:8080/f/4243350" TargetMode="External" Id="rId15" /><Relationship Type="http://schemas.openxmlformats.org/officeDocument/2006/relationships/hyperlink" Target="https://10.10.106.144:8080/f/4243350" TargetMode="External" Id="rId16" /><Relationship Type="http://schemas.openxmlformats.org/officeDocument/2006/relationships/hyperlink" Target="https://10.10.106.144:8080/f/4243350" TargetMode="External" Id="rId17" /><Relationship Type="http://schemas.openxmlformats.org/officeDocument/2006/relationships/hyperlink" Target="https://10.10.106.144:8080/f/4243350" TargetMode="External" Id="rId18" /><Relationship Type="http://schemas.openxmlformats.org/officeDocument/2006/relationships/hyperlink" Target="https://10.10.106.144:8080/f/4243350" TargetMode="External" Id="rId19" /></Relationships>
</file>

<file path=xl/worksheets/_rels/sheet14.xml.rels><Relationships xmlns="http://schemas.openxmlformats.org/package/2006/relationships"><Relationship Type="http://schemas.openxmlformats.org/officeDocument/2006/relationships/hyperlink" Target="https://10.10.106.144:8080/f/1106633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4243350" TargetMode="External" Id="rId3" /><Relationship Type="http://schemas.openxmlformats.org/officeDocument/2006/relationships/hyperlink" Target="https://10.10.106.144:8080/f/4243350" TargetMode="External" Id="rId4" /><Relationship Type="http://schemas.openxmlformats.org/officeDocument/2006/relationships/hyperlink" Target="https://10.10.106.144:8080/f/4243350" TargetMode="External" Id="rId5" /><Relationship Type="http://schemas.openxmlformats.org/officeDocument/2006/relationships/hyperlink" Target="https://10.10.106.144:8080/f/4243350" TargetMode="External" Id="rId6" /><Relationship Type="http://schemas.openxmlformats.org/officeDocument/2006/relationships/hyperlink" Target="https://10.10.106.144:8080/f/4243350" TargetMode="External" Id="rId7" /><Relationship Type="http://schemas.openxmlformats.org/officeDocument/2006/relationships/hyperlink" Target="https://10.10.106.144:8080/f/4243350" TargetMode="External" Id="rId8" /><Relationship Type="http://schemas.openxmlformats.org/officeDocument/2006/relationships/hyperlink" Target="https://10.10.106.144:8080/f/4243350" TargetMode="External" Id="rId9" /><Relationship Type="http://schemas.openxmlformats.org/officeDocument/2006/relationships/hyperlink" Target="https://10.10.106.144:8080/f/4243350" TargetMode="External" Id="rId10" /><Relationship Type="http://schemas.openxmlformats.org/officeDocument/2006/relationships/hyperlink" Target="https://10.10.106.144:8080/f/4243350" TargetMode="External" Id="rId11" /><Relationship Type="http://schemas.openxmlformats.org/officeDocument/2006/relationships/hyperlink" Target="https://10.10.106.144:8080/f/4243350" TargetMode="External" Id="rId12" /><Relationship Type="http://schemas.openxmlformats.org/officeDocument/2006/relationships/hyperlink" Target="https://10.10.106.144:8080/f/4243350" TargetMode="External" Id="rId13" /><Relationship Type="http://schemas.openxmlformats.org/officeDocument/2006/relationships/hyperlink" Target="https://10.10.106.144:8080/f/4243350" TargetMode="External" Id="rId14" /></Relationships>
</file>

<file path=xl/worksheets/_rels/sheet15.xml.rels><Relationships xmlns="http://schemas.openxmlformats.org/package/2006/relationships"><Relationship Type="http://schemas.openxmlformats.org/officeDocument/2006/relationships/hyperlink" Target="https://10.10.106.144:8080/f/4243350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4243350" TargetMode="External" Id="rId3" /><Relationship Type="http://schemas.openxmlformats.org/officeDocument/2006/relationships/hyperlink" Target="https://10.10.106.144:8080/f/4243350" TargetMode="External" Id="rId4" /><Relationship Type="http://schemas.openxmlformats.org/officeDocument/2006/relationships/hyperlink" Target="https://10.10.106.144:8080/f/4243350" TargetMode="External" Id="rId5" /><Relationship Type="http://schemas.openxmlformats.org/officeDocument/2006/relationships/hyperlink" Target="https://10.10.106.144:8080/f/4243350" TargetMode="External" Id="rId6" /><Relationship Type="http://schemas.openxmlformats.org/officeDocument/2006/relationships/hyperlink" Target="https://10.10.106.144:8080/f/4243350" TargetMode="External" Id="rId7" /><Relationship Type="http://schemas.openxmlformats.org/officeDocument/2006/relationships/hyperlink" Target="https://10.10.106.144:8080/f/4243350" TargetMode="External" Id="rId8" /><Relationship Type="http://schemas.openxmlformats.org/officeDocument/2006/relationships/hyperlink" Target="https://10.10.106.144:8080/f/4243350" TargetMode="External" Id="rId9" /></Relationships>
</file>

<file path=xl/worksheets/_rels/sheet16.xml.rels><Relationships xmlns="http://schemas.openxmlformats.org/package/2006/relationships"><Relationship Type="http://schemas.openxmlformats.org/officeDocument/2006/relationships/hyperlink" Target="https://10.10.106.144:8080/f/3980313" TargetMode="External" Id="rId1" /><Relationship Type="http://schemas.openxmlformats.org/officeDocument/2006/relationships/hyperlink" Target="https://10.10.106.144:8080/f/3980313" TargetMode="External" Id="rId2" /><Relationship Type="http://schemas.openxmlformats.org/officeDocument/2006/relationships/hyperlink" Target="https://10.10.106.144:8080/f/3980313" TargetMode="External" Id="rId3" /><Relationship Type="http://schemas.openxmlformats.org/officeDocument/2006/relationships/hyperlink" Target="https://10.10.106.144:8080/f/3980313" TargetMode="External" Id="rId4" /><Relationship Type="http://schemas.openxmlformats.org/officeDocument/2006/relationships/hyperlink" Target="https://10.10.106.144:8080/f/3980313" TargetMode="External" Id="rId5" /><Relationship Type="http://schemas.openxmlformats.org/officeDocument/2006/relationships/hyperlink" Target="https://10.10.106.144:8080/f/3980313" TargetMode="External" Id="rId6" /><Relationship Type="http://schemas.openxmlformats.org/officeDocument/2006/relationships/hyperlink" Target="https://10.10.106.144:8080/f/3980313" TargetMode="External" Id="rId7" /><Relationship Type="http://schemas.openxmlformats.org/officeDocument/2006/relationships/hyperlink" Target="https://10.10.106.144:8080/f/3980313" TargetMode="External" Id="rId8" /><Relationship Type="http://schemas.openxmlformats.org/officeDocument/2006/relationships/hyperlink" Target="https://10.10.106.144:8080/f/3980313" TargetMode="External" Id="rId9" /><Relationship Type="http://schemas.openxmlformats.org/officeDocument/2006/relationships/hyperlink" Target="https://10.10.106.144:8080/f/3980313" TargetMode="External" Id="rId10" /><Relationship Type="http://schemas.openxmlformats.org/officeDocument/2006/relationships/hyperlink" Target="https://10.10.106.144:8080/f/3980313" TargetMode="External" Id="rId11" /><Relationship Type="http://schemas.openxmlformats.org/officeDocument/2006/relationships/hyperlink" Target="https://10.10.106.144:8080/f/3980313" TargetMode="External" Id="rId12" /><Relationship Type="http://schemas.openxmlformats.org/officeDocument/2006/relationships/hyperlink" Target="https://10.10.106.144:8080/f/3980313" TargetMode="External" Id="rId13" /><Relationship Type="http://schemas.openxmlformats.org/officeDocument/2006/relationships/hyperlink" Target="https://10.10.106.144:8080/f/3980313" TargetMode="External" Id="rId14" /></Relationships>
</file>

<file path=xl/worksheets/_rels/sheet19.xml.rels><Relationships xmlns="http://schemas.openxmlformats.org/package/2006/relationships"><Relationship Type="http://schemas.openxmlformats.org/officeDocument/2006/relationships/hyperlink" Target="https://10.10.106.144:8080/f/4243350" TargetMode="External" Id="rId1" /><Relationship Type="http://schemas.openxmlformats.org/officeDocument/2006/relationships/hyperlink" Target="https://10.10.106.144:8080/f/4259112" TargetMode="External" Id="rId2" /><Relationship Type="http://schemas.openxmlformats.org/officeDocument/2006/relationships/hyperlink" Target="https://10.10.106.144:8080/f/4243350" TargetMode="External" Id="rId3" /><Relationship Type="http://schemas.openxmlformats.org/officeDocument/2006/relationships/hyperlink" Target="https://10.10.106.144:8080/f/4259112" TargetMode="External" Id="rId4" /><Relationship Type="http://schemas.openxmlformats.org/officeDocument/2006/relationships/hyperlink" Target="https://10.10.106.144:8080/f/4243350" TargetMode="External" Id="rId5" /><Relationship Type="http://schemas.openxmlformats.org/officeDocument/2006/relationships/hyperlink" Target="https://10.10.106.144:8080/f/4243350" TargetMode="External" Id="rId6" /></Relationships>
</file>

<file path=xl/worksheets/_rels/sheet20.xml.rels><Relationships xmlns="http://schemas.openxmlformats.org/package/2006/relationships"><Relationship Type="http://schemas.openxmlformats.org/officeDocument/2006/relationships/hyperlink" Target="https://10.10.106.144:8080/f/3980310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3980310" TargetMode="External" Id="rId3" /><Relationship Type="http://schemas.openxmlformats.org/officeDocument/2006/relationships/hyperlink" Target="https://10.10.106.144:8080/f/4243350" TargetMode="External" Id="rId4" /><Relationship Type="http://schemas.openxmlformats.org/officeDocument/2006/relationships/hyperlink" Target="https://10.10.106.144:8080/f/4243350" TargetMode="External" Id="rId5" /><Relationship Type="http://schemas.openxmlformats.org/officeDocument/2006/relationships/hyperlink" Target="https://10.10.106.144:8080/f/4243350" TargetMode="External" Id="rId6" /></Relationships>
</file>

<file path=xl/worksheets/_rels/sheet21.xml.rels><Relationships xmlns="http://schemas.openxmlformats.org/package/2006/relationships"><Relationship Type="http://schemas.openxmlformats.org/officeDocument/2006/relationships/hyperlink" Target="https://10.10.106.144:8080/f/4243350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4243350" TargetMode="External" Id="rId3" /><Relationship Type="http://schemas.openxmlformats.org/officeDocument/2006/relationships/hyperlink" Target="https://10.10.106.144:8080/f/4243350" TargetMode="External" Id="rId4" /><Relationship Type="http://schemas.openxmlformats.org/officeDocument/2006/relationships/hyperlink" Target="https://10.10.106.144:8080/f/4243350" TargetMode="External" Id="rId5" /></Relationships>
</file>

<file path=xl/worksheets/_rels/sheet25.xml.rels><Relationships xmlns="http://schemas.openxmlformats.org/package/2006/relationships"><Relationship Type="http://schemas.openxmlformats.org/officeDocument/2006/relationships/hyperlink" Target="https://10.10.106.144:8080/f/4243350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4243350" TargetMode="External" Id="rId3" /><Relationship Type="http://schemas.openxmlformats.org/officeDocument/2006/relationships/hyperlink" Target="https://10.10.106.144:8080/f/1106633" TargetMode="External" Id="rId4" /><Relationship Type="http://schemas.openxmlformats.org/officeDocument/2006/relationships/hyperlink" Target="https://10.10.106.144:8080/f/4243350" TargetMode="External" Id="rId5" /><Relationship Type="http://schemas.openxmlformats.org/officeDocument/2006/relationships/hyperlink" Target="https://10.10.106.144:8080/f/4243350" TargetMode="External" Id="rId6" /><Relationship Type="http://schemas.openxmlformats.org/officeDocument/2006/relationships/hyperlink" Target="https://10.10.106.144:8080/f/1106633" TargetMode="External" Id="rId7" /><Relationship Type="http://schemas.openxmlformats.org/officeDocument/2006/relationships/hyperlink" Target="https://10.10.106.144:8080/f/4243350" TargetMode="External" Id="rId8" /><Relationship Type="http://schemas.openxmlformats.org/officeDocument/2006/relationships/hyperlink" Target="https://10.10.106.144:8080/f/1106633" TargetMode="External" Id="rId9" /><Relationship Type="http://schemas.openxmlformats.org/officeDocument/2006/relationships/hyperlink" Target="https://10.10.106.144:8080/f/4243350" TargetMode="External" Id="rId10" /></Relationships>
</file>

<file path=xl/worksheets/_rels/sheet27.xml.rels><Relationships xmlns="http://schemas.openxmlformats.org/package/2006/relationships"><Relationship Type="http://schemas.openxmlformats.org/officeDocument/2006/relationships/hyperlink" Target="https://10.10.106.144:8080/f/4243350" TargetMode="External" Id="rId1" /><Relationship Type="http://schemas.openxmlformats.org/officeDocument/2006/relationships/hyperlink" Target="https://10.10.106.144:8080/f/4243350" TargetMode="External" Id="rId2" /><Relationship Type="http://schemas.openxmlformats.org/officeDocument/2006/relationships/hyperlink" Target="https://10.10.106.144:8080/f/4243350" TargetMode="External" Id="rId3" /></Relationships>
</file>

<file path=xl/worksheets/_rels/sheet28.xml.rels><Relationships xmlns="http://schemas.openxmlformats.org/package/2006/relationships"><Relationship Type="http://schemas.openxmlformats.org/officeDocument/2006/relationships/hyperlink" Target="https://10.10.106.144:8080/f/1538279" TargetMode="External" Id="rId1" /><Relationship Type="http://schemas.openxmlformats.org/officeDocument/2006/relationships/hyperlink" Target="https://10.10.106.144:8080/f/1974351" TargetMode="External" Id="rId2" /><Relationship Type="http://schemas.openxmlformats.org/officeDocument/2006/relationships/hyperlink" Target="https://10.10.106.144:8080/f/1360396" TargetMode="External" Id="rId3" /><Relationship Type="http://schemas.openxmlformats.org/officeDocument/2006/relationships/hyperlink" Target="https://10.10.106.144:8080/f/4243862" TargetMode="External" Id="rId4" /><Relationship Type="http://schemas.openxmlformats.org/officeDocument/2006/relationships/hyperlink" Target="https://10.10.106.144:8080/f/4245592" TargetMode="External" Id="rId5" /><Relationship Type="http://schemas.openxmlformats.org/officeDocument/2006/relationships/hyperlink" Target="https://10.10.106.144:8080/f/4322997" TargetMode="External" Id="rId6" /><Relationship Type="http://schemas.openxmlformats.org/officeDocument/2006/relationships/hyperlink" Target="https://10.10.106.144:8080/f/1361517" TargetMode="External" Id="rId7" /><Relationship Type="http://schemas.openxmlformats.org/officeDocument/2006/relationships/hyperlink" Target="https://10.10.106.144:8080/f/1361326" TargetMode="External" Id="rId8" /><Relationship Type="http://schemas.openxmlformats.org/officeDocument/2006/relationships/hyperlink" Target="https://10.10.106.144:8080/f/1492090" TargetMode="External" Id="rId9" /><Relationship Type="http://schemas.openxmlformats.org/officeDocument/2006/relationships/hyperlink" Target="https://10.10.106.144:8080/f/1848634" TargetMode="External" Id="rId10" /><Relationship Type="http://schemas.openxmlformats.org/officeDocument/2006/relationships/hyperlink" Target="https://10.10.106.144:8080/f/1491974" TargetMode="External" Id="rId11" /><Relationship Type="http://schemas.openxmlformats.org/officeDocument/2006/relationships/hyperlink" Target="https://10.10.106.144:8080/f/4243864" TargetMode="External" Id="rId12" /><Relationship Type="http://schemas.openxmlformats.org/officeDocument/2006/relationships/hyperlink" Target="https://10.10.106.144:8080/f/1848639" TargetMode="External" Id="rId13" /><Relationship Type="http://schemas.openxmlformats.org/officeDocument/2006/relationships/hyperlink" Target="https://10.10.106.144:8080/f/4111442" TargetMode="External" Id="rId14" /><Relationship Type="http://schemas.openxmlformats.org/officeDocument/2006/relationships/hyperlink" Target="https://10.10.106.144:8080/f/1901936" TargetMode="External" Id="rId15" /><Relationship Type="http://schemas.openxmlformats.org/officeDocument/2006/relationships/hyperlink" Target="https://10.10.106.144:8080/f/4243863" TargetMode="External" Id="rId16" /><Relationship Type="http://schemas.openxmlformats.org/officeDocument/2006/relationships/hyperlink" Target="https://10.10.106.144:8080/f/3982627" TargetMode="External" Id="rId17" /><Relationship Type="http://schemas.openxmlformats.org/officeDocument/2006/relationships/hyperlink" Target="https://10.10.106.144:8080/f/1361322" TargetMode="External" Id="rId18" /><Relationship Type="http://schemas.openxmlformats.org/officeDocument/2006/relationships/hyperlink" Target="https://10.10.106.144:8080/f/1583533" TargetMode="External" Id="rId19" /><Relationship Type="http://schemas.openxmlformats.org/officeDocument/2006/relationships/hyperlink" Target="https://10.10.106.144:8080/f/3506682" TargetMode="External" Id="rId20" /><Relationship Type="http://schemas.openxmlformats.org/officeDocument/2006/relationships/hyperlink" Target="https://10.10.106.144:8080/f/3491529" TargetMode="External" Id="rId21" /><Relationship Type="http://schemas.openxmlformats.org/officeDocument/2006/relationships/hyperlink" Target="https://10.10.106.144:8080/f/1848653" TargetMode="External" Id="rId22" /><Relationship Type="http://schemas.openxmlformats.org/officeDocument/2006/relationships/hyperlink" Target="https://10.10.106.144:8080/f/1038299" TargetMode="External" Id="rId23" /><Relationship Type="http://schemas.openxmlformats.org/officeDocument/2006/relationships/hyperlink" Target="https://10.10.106.144:8080/f/1848647" TargetMode="External" Id="rId24" /><Relationship Type="http://schemas.openxmlformats.org/officeDocument/2006/relationships/hyperlink" Target="https://10.10.106.144:8080/f/3979495" TargetMode="External" Id="rId25" /><Relationship Type="http://schemas.openxmlformats.org/officeDocument/2006/relationships/hyperlink" Target="https://10.10.106.144:8080/f/1974367" TargetMode="External" Id="rId26" /><Relationship Type="http://schemas.openxmlformats.org/officeDocument/2006/relationships/hyperlink" Target="https://10.10.106.144:8080/f/1848659" TargetMode="External" Id="rId27" /><Relationship Type="http://schemas.openxmlformats.org/officeDocument/2006/relationships/hyperlink" Target="https://10.10.106.144:8080/f/3989558" TargetMode="External" Id="rId28" /><Relationship Type="http://schemas.openxmlformats.org/officeDocument/2006/relationships/hyperlink" Target="https://10.10.106.144:8080/f/1848649" TargetMode="External" Id="rId29" /><Relationship Type="http://schemas.openxmlformats.org/officeDocument/2006/relationships/hyperlink" Target="https://10.10.106.144:8080/f/3491530" TargetMode="External" Id="rId30" /><Relationship Type="http://schemas.openxmlformats.org/officeDocument/2006/relationships/hyperlink" Target="https://10.10.106.144:8080/f/1491991" TargetMode="External" Id="rId31" /><Relationship Type="http://schemas.openxmlformats.org/officeDocument/2006/relationships/hyperlink" Target="https://10.10.106.144:8080/f/1492088" TargetMode="External" Id="rId32" /><Relationship Type="http://schemas.openxmlformats.org/officeDocument/2006/relationships/hyperlink" Target="https://10.10.106.144:8080/f/3945958" TargetMode="External" Id="rId33" /><Relationship Type="http://schemas.openxmlformats.org/officeDocument/2006/relationships/hyperlink" Target="https://10.10.106.144:8080/f/3989490" TargetMode="External" Id="rId34" /><Relationship Type="http://schemas.openxmlformats.org/officeDocument/2006/relationships/hyperlink" Target="https://10.10.106.144:8080/f/1492063" TargetMode="External" Id="rId35" /><Relationship Type="http://schemas.openxmlformats.org/officeDocument/2006/relationships/hyperlink" Target="https://10.10.106.144:8080/f/1583549" TargetMode="External" Id="rId36" /><Relationship Type="http://schemas.openxmlformats.org/officeDocument/2006/relationships/hyperlink" Target="https://10.10.106.144:8080/f/3469664" TargetMode="External" Id="rId37" /><Relationship Type="http://schemas.openxmlformats.org/officeDocument/2006/relationships/hyperlink" Target="https://10.10.106.144:8080/f/4245597" TargetMode="External" Id="rId38" /><Relationship Type="http://schemas.openxmlformats.org/officeDocument/2006/relationships/hyperlink" Target="https://10.10.106.144:8080/f/3980338" TargetMode="External" Id="rId39" /><Relationship Type="http://schemas.openxmlformats.org/officeDocument/2006/relationships/hyperlink" Target="https://10.10.106.144:8080/f/1361421" TargetMode="External" Id="rId40" /><Relationship Type="http://schemas.openxmlformats.org/officeDocument/2006/relationships/hyperlink" Target="https://10.10.106.144:8080/f/3919324" TargetMode="External" Id="rId41" /><Relationship Type="http://schemas.openxmlformats.org/officeDocument/2006/relationships/hyperlink" Target="https://10.10.106.144:8080/f/1974368" TargetMode="External" Id="rId42" /><Relationship Type="http://schemas.openxmlformats.org/officeDocument/2006/relationships/hyperlink" Target="https://10.10.106.144:8080/f/1360380" TargetMode="External" Id="rId43" /><Relationship Type="http://schemas.openxmlformats.org/officeDocument/2006/relationships/hyperlink" Target="https://10.10.106.144:8080/f/1538294" TargetMode="External" Id="rId44" /><Relationship Type="http://schemas.openxmlformats.org/officeDocument/2006/relationships/hyperlink" Target="https://10.10.106.144:8080/f/1491942" TargetMode="External" Id="rId45" /><Relationship Type="http://schemas.openxmlformats.org/officeDocument/2006/relationships/hyperlink" Target="https://10.10.106.144:8080/f/3988559" TargetMode="External" Id="rId46" /><Relationship Type="http://schemas.openxmlformats.org/officeDocument/2006/relationships/hyperlink" Target="https://10.10.106.144:8080/f/4207178" TargetMode="External" Id="rId47" /><Relationship Type="http://schemas.openxmlformats.org/officeDocument/2006/relationships/hyperlink" Target="https://10.10.106.144:8080/f/4253805" TargetMode="External" Id="rId48" /><Relationship Type="http://schemas.openxmlformats.org/officeDocument/2006/relationships/hyperlink" Target="https://10.10.106.144:8080/f/1491987" TargetMode="External" Id="rId49" /><Relationship Type="http://schemas.openxmlformats.org/officeDocument/2006/relationships/hyperlink" Target="https://10.10.106.144:8080/f/1492060" TargetMode="External" Id="rId50" /><Relationship Type="http://schemas.openxmlformats.org/officeDocument/2006/relationships/hyperlink" Target="https://10.10.106.144:8080/f/1538300" TargetMode="External" Id="rId51" /><Relationship Type="http://schemas.openxmlformats.org/officeDocument/2006/relationships/hyperlink" Target="https://10.10.106.144:8080/f/1038153" TargetMode="External" Id="rId52" /><Relationship Type="http://schemas.openxmlformats.org/officeDocument/2006/relationships/hyperlink" Target="https://10.10.106.144:8080/f/1590050" TargetMode="External" Id="rId53" /><Relationship Type="http://schemas.openxmlformats.org/officeDocument/2006/relationships/hyperlink" Target="https://10.10.106.144:8080/f/1491976" TargetMode="External" Id="rId54" /><Relationship Type="http://schemas.openxmlformats.org/officeDocument/2006/relationships/hyperlink" Target="https://10.10.106.144:8080/f/1360391" TargetMode="External" Id="rId55" /><Relationship Type="http://schemas.openxmlformats.org/officeDocument/2006/relationships/hyperlink" Target="https://10.10.106.144:8080/f/3776824" TargetMode="External" Id="rId56" /><Relationship Type="http://schemas.openxmlformats.org/officeDocument/2006/relationships/hyperlink" Target="https://10.10.106.144:8080/f/3980313" TargetMode="External" Id="rId57" /><Relationship Type="http://schemas.openxmlformats.org/officeDocument/2006/relationships/hyperlink" Target="https://10.10.106.144:8080/f/4245588" TargetMode="External" Id="rId58" /><Relationship Type="http://schemas.openxmlformats.org/officeDocument/2006/relationships/hyperlink" Target="https://10.10.106.144:8080/f/3469662" TargetMode="External" Id="rId59" /><Relationship Type="http://schemas.openxmlformats.org/officeDocument/2006/relationships/hyperlink" Target="https://10.10.106.144:8080/f/1491943" TargetMode="External" Id="rId60" /><Relationship Type="http://schemas.openxmlformats.org/officeDocument/2006/relationships/hyperlink" Target="https://10.10.106.144:8080/f/1492061" TargetMode="External" Id="rId61" /><Relationship Type="http://schemas.openxmlformats.org/officeDocument/2006/relationships/hyperlink" Target="https://10.10.106.144:8080/f/3980310" TargetMode="External" Id="rId62" /><Relationship Type="http://schemas.openxmlformats.org/officeDocument/2006/relationships/hyperlink" Target="https://10.10.106.144:8080/f/4313423" TargetMode="External" Id="rId63" /><Relationship Type="http://schemas.openxmlformats.org/officeDocument/2006/relationships/hyperlink" Target="https://10.10.106.144:8080/f/4313590" TargetMode="External" Id="rId64" /><Relationship Type="http://schemas.openxmlformats.org/officeDocument/2006/relationships/hyperlink" Target="https://10.10.106.144:8080/f/4313455" TargetMode="External" Id="rId65" /></Relationships>
</file>

<file path=xl/worksheets/_rels/sheet29.xml.rels><Relationships xmlns="http://schemas.openxmlformats.org/package/2006/relationships"><Relationship Type="http://schemas.openxmlformats.org/officeDocument/2006/relationships/hyperlink" Target="https://10.10.106.144:8080/f/1097857" TargetMode="External" Id="rId1" /><Relationship Type="http://schemas.openxmlformats.org/officeDocument/2006/relationships/hyperlink" Target="https://10.10.106.144:8080/f/1100145" TargetMode="External" Id="rId2" /><Relationship Type="http://schemas.openxmlformats.org/officeDocument/2006/relationships/hyperlink" Target="https://10.10.106.144:8080/f/1087601" TargetMode="External" Id="rId3" /><Relationship Type="http://schemas.openxmlformats.org/officeDocument/2006/relationships/hyperlink" Target="https://10.10.106.144:8080/f/1106951" TargetMode="External" Id="rId4" /><Relationship Type="http://schemas.openxmlformats.org/officeDocument/2006/relationships/hyperlink" Target="https://10.10.106.144:8080/f/1082321" TargetMode="External" Id="rId5" /><Relationship Type="http://schemas.openxmlformats.org/officeDocument/2006/relationships/hyperlink" Target="https://10.10.106.144:8080/f/1192836" TargetMode="External" Id="rId6" /><Relationship Type="http://schemas.openxmlformats.org/officeDocument/2006/relationships/hyperlink" Target="https://10.10.106.144:8080/f/1087063" TargetMode="External" Id="rId7" /><Relationship Type="http://schemas.openxmlformats.org/officeDocument/2006/relationships/hyperlink" Target="https://10.10.106.144:8080/f/3268643" TargetMode="External" Id="rId8" /><Relationship Type="http://schemas.openxmlformats.org/officeDocument/2006/relationships/hyperlink" Target="https://10.10.106.144:8080/f/1180050" TargetMode="External" Id="rId9" /><Relationship Type="http://schemas.openxmlformats.org/officeDocument/2006/relationships/hyperlink" Target="https://10.10.106.144:8080/f/1137067" TargetMode="External" Id="rId10" /><Relationship Type="http://schemas.openxmlformats.org/officeDocument/2006/relationships/hyperlink" Target="https://10.10.106.144:8080/f/1100989" TargetMode="External" Id="rId11" /><Relationship Type="http://schemas.openxmlformats.org/officeDocument/2006/relationships/hyperlink" Target="https://10.10.106.144:8080/f/1083629" TargetMode="External" Id="rId12" /><Relationship Type="http://schemas.openxmlformats.org/officeDocument/2006/relationships/hyperlink" Target="https://10.10.106.144:8080/f/1173625" TargetMode="External" Id="rId13" /><Relationship Type="http://schemas.openxmlformats.org/officeDocument/2006/relationships/hyperlink" Target="https://10.10.106.144:8080/f/1130607" TargetMode="External" Id="rId14" /><Relationship Type="http://schemas.openxmlformats.org/officeDocument/2006/relationships/hyperlink" Target="https://10.10.106.144:8080/f/1174008" TargetMode="External" Id="rId15" /><Relationship Type="http://schemas.openxmlformats.org/officeDocument/2006/relationships/hyperlink" Target="https://10.10.106.144:8080/f/1136398" TargetMode="External" Id="rId16" /><Relationship Type="http://schemas.openxmlformats.org/officeDocument/2006/relationships/hyperlink" Target="https://10.10.106.144:8080/f/1084094" TargetMode="External" Id="rId17" /><Relationship Type="http://schemas.openxmlformats.org/officeDocument/2006/relationships/hyperlink" Target="https://10.10.106.144:8080/f/1173794" TargetMode="External" Id="rId18" /><Relationship Type="http://schemas.openxmlformats.org/officeDocument/2006/relationships/hyperlink" Target="https://10.10.106.144:8080/f/1183944" TargetMode="External" Id="rId19" /><Relationship Type="http://schemas.openxmlformats.org/officeDocument/2006/relationships/hyperlink" Target="https://10.10.106.144:8080/f/1629751" TargetMode="External" Id="rId20" /><Relationship Type="http://schemas.openxmlformats.org/officeDocument/2006/relationships/hyperlink" Target="https://10.10.106.144:8080/f/1191675" TargetMode="External" Id="rId21" /><Relationship Type="http://schemas.openxmlformats.org/officeDocument/2006/relationships/hyperlink" Target="https://10.10.106.144:8080/f/4259112" TargetMode="External" Id="rId22" /><Relationship Type="http://schemas.openxmlformats.org/officeDocument/2006/relationships/hyperlink" Target="https://10.10.106.144:8080/f/1646357" TargetMode="External" Id="rId23" /><Relationship Type="http://schemas.openxmlformats.org/officeDocument/2006/relationships/hyperlink" Target="https://10.10.106.144:8080/f/1185766" TargetMode="External" Id="rId24" /><Relationship Type="http://schemas.openxmlformats.org/officeDocument/2006/relationships/hyperlink" Target="https://10.10.106.144:8080/f/1644411" TargetMode="External" Id="rId25" /><Relationship Type="http://schemas.openxmlformats.org/officeDocument/2006/relationships/hyperlink" Target="https://10.10.106.144:8080/f/1088302" TargetMode="External" Id="rId26" /><Relationship Type="http://schemas.openxmlformats.org/officeDocument/2006/relationships/hyperlink" Target="https://10.10.106.144:8080/f/1123656" TargetMode="External" Id="rId27" /><Relationship Type="http://schemas.openxmlformats.org/officeDocument/2006/relationships/hyperlink" Target="https://10.10.106.144:8080/f/1646372" TargetMode="External" Id="rId28" /><Relationship Type="http://schemas.openxmlformats.org/officeDocument/2006/relationships/hyperlink" Target="https://10.10.106.144:8080/f/1106633" TargetMode="External" Id="rId29" /><Relationship Type="http://schemas.openxmlformats.org/officeDocument/2006/relationships/hyperlink" Target="https://10.10.106.144:8080/f/123944" TargetMode="External" Id="rId30" /></Relationships>
</file>

<file path=xl/worksheets/_rels/sheet30.xml.rels><Relationships xmlns="http://schemas.openxmlformats.org/package/2006/relationships"><Relationship Type="http://schemas.openxmlformats.org/officeDocument/2006/relationships/hyperlink" Target="https://10.10.106.144:8080/f/42433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Normal="100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14" customWidth="1" style="19" min="1" max="1"/>
    <col width="7" customWidth="1" style="19" min="2" max="2"/>
    <col width="10" customWidth="1" style="19" min="3" max="3"/>
    <col width="40" customWidth="1" style="19" min="4" max="4"/>
    <col width="12" customWidth="1" style="19" min="5" max="5"/>
    <col width="11" customWidth="1" style="19" min="6" max="8"/>
    <col width="13" customWidth="1" style="19" min="9" max="11"/>
    <col width="12" customWidth="1" style="19" min="12" max="12"/>
    <col width="60" customWidth="1" style="19" min="13" max="13"/>
  </cols>
  <sheetData>
    <row r="1" ht="16.8" customHeight="1" s="19">
      <c r="A1" s="1" t="inlineStr">
        <is>
          <t>Свод: оборудование главной подстанции 220 кВ (титулы 3120, 3121, 3123, 3128) по РД — заводские номера и АоРПИ</t>
        </is>
      </c>
    </row>
    <row r="2">
      <c r="A2" s="2" t="inlineStr">
        <is>
          <t>РД: SMB-46/PTO/6. Electric/1.Последние чертежи/3120 (последняя ревизия каждого СО). Из спецификаций взят только раздел «Оборудование». Дата свода: 28.09.2026.</t>
        </is>
      </c>
    </row>
    <row r="3">
      <c r="A3" s="3" t="inlineStr">
        <is>
          <t>Открыть папку РД 3120</t>
        </is>
      </c>
    </row>
    <row r="5" ht="42" customHeight="1" s="19">
      <c r="A5" s="4" t="inlineStr">
        <is>
          <t>Лист</t>
        </is>
      </c>
      <c r="B5" s="4" t="inlineStr">
        <is>
          <t>Титул</t>
        </is>
      </c>
      <c r="C5" s="4" t="inlineStr">
        <is>
          <t>Раздел</t>
        </is>
      </c>
      <c r="D5" s="4" t="inlineStr">
        <is>
          <t>Шифр СО / ревизия</t>
        </is>
      </c>
      <c r="E5" s="4" t="inlineStr">
        <is>
          <t>Позиций оборудования</t>
        </is>
      </c>
      <c r="F5" s="4" t="inlineStr">
        <is>
          <t>Кол-во по СО, шт</t>
        </is>
      </c>
      <c r="G5" s="4" t="inlineStr">
        <is>
          <t>Найдено зав. №, шт</t>
        </is>
      </c>
      <c r="H5" s="4" t="inlineStr">
        <is>
          <t>Позиций без зав. №</t>
        </is>
      </c>
      <c r="I5" s="4" t="inlineStr">
        <is>
          <t>ОК: зав. № + АоРПИ подписан</t>
        </is>
      </c>
      <c r="J5" s="4" t="inlineStr">
        <is>
          <t>Зав. № есть, АоРПИ не подписан</t>
        </is>
      </c>
      <c r="K5" s="4" t="inlineStr">
        <is>
          <t>Зав. № есть, АоРПИ нет</t>
        </is>
      </c>
      <c r="L5" s="4" t="inlineStr">
        <is>
          <t>Позиций без АоРПИ (-)</t>
        </is>
      </c>
      <c r="M5" s="4" t="inlineStr">
        <is>
          <t>Главное</t>
        </is>
      </c>
    </row>
    <row r="6" ht="66" customHeight="1" s="19">
      <c r="A6" s="5" t="inlineStr">
        <is>
          <t>3120 ЭС1</t>
        </is>
      </c>
      <c r="B6" s="6" t="inlineStr">
        <is>
          <t>3120</t>
        </is>
      </c>
      <c r="C6" s="6" t="inlineStr">
        <is>
          <t>ЭС1</t>
        </is>
      </c>
      <c r="D6" s="6" t="inlineStr">
        <is>
          <t>E19006-CXPP-3120-ЭС1.СО-001 (03-90-1200-44-ЭС.СО-001) / 4А (Спецификация материалов/.doc)</t>
        </is>
      </c>
      <c r="E6" s="6">
        <f>COUNTA('3120 ЭС1'!B6:B15)</f>
        <v/>
      </c>
      <c r="F6" s="6">
        <f>SUM('3120 ЭС1'!E6:E15)</f>
        <v/>
      </c>
      <c r="G6" s="6">
        <f>SUM('3120 ЭС1'!G6:G15)</f>
        <v/>
      </c>
      <c r="H6" s="6">
        <f>COUNTIF('3120 ЭС1'!L6:L15,"Нет*")</f>
        <v/>
      </c>
      <c r="I6" s="6">
        <f>COUNTIF('3120 ЭС1'!L6:L15,"ОК*")</f>
        <v/>
      </c>
      <c r="J6" s="6">
        <f>COUNTIF('3120 ЭС1'!L6:L15,"*не подписан")</f>
        <v/>
      </c>
      <c r="K6" s="6">
        <f>COUNTIF('3120 ЭС1'!L6:L15,"Зав. № есть, АоРПИ нет")</f>
        <v/>
      </c>
      <c r="L6" s="6">
        <f>COUNTIF('3120 ЭС1'!J6:J15,"-")</f>
        <v/>
      </c>
      <c r="M6" s="6" t="inlineStr">
        <is>
          <t>КРУЭ 220 кВ: зав. № SGF24012NSD01–04 только в отклонённом RFI 1440, АоРПИ нет; присланные 22.09.2026 документы (TP-0007) — только на ОПН. ТРДН — ОК (477/478). ОПН — 12 зав. № подтверждены паспортами TP-0007 1B, АоРПИ 1248 не подписан и без номеров. ШМУ, токопроводы, ШУ-Д — номеров нет.</t>
        </is>
      </c>
    </row>
    <row r="7" ht="52.8" customHeight="1" s="19">
      <c r="A7" s="5" t="inlineStr">
        <is>
          <t>3120 ЭС2</t>
        </is>
      </c>
      <c r="B7" s="6" t="inlineStr">
        <is>
          <t>3120</t>
        </is>
      </c>
      <c r="C7" s="6" t="inlineStr">
        <is>
          <t>ЭС2</t>
        </is>
      </c>
      <c r="D7" s="6" t="inlineStr">
        <is>
          <t>E19006-CXPP-3120-ЭС2.СО-001 / 4А (.xlsx)</t>
        </is>
      </c>
      <c r="E7" s="6">
        <f>COUNTA('3120 ЭС2'!B6:B32)</f>
        <v/>
      </c>
      <c r="F7" s="6">
        <f>SUM('3120 ЭС2'!E6:E32)</f>
        <v/>
      </c>
      <c r="G7" s="6">
        <f>SUM('3120 ЭС2'!G6:G32)</f>
        <v/>
      </c>
      <c r="H7" s="6">
        <f>COUNTIF('3120 ЭС2'!L6:L32,"Нет*")</f>
        <v/>
      </c>
      <c r="I7" s="6">
        <f>COUNTIF('3120 ЭС2'!L6:L32,"ОК*")</f>
        <v/>
      </c>
      <c r="J7" s="6">
        <f>COUNTIF('3120 ЭС2'!L6:L32,"*не подписан")</f>
        <v/>
      </c>
      <c r="K7" s="6">
        <f>COUNTIF('3120 ЭС2'!L6:L32,"Зав. № есть, АоРПИ нет")</f>
        <v/>
      </c>
      <c r="L7" s="6">
        <f>COUNTIF('3120 ЭС2'!J6:J32,"-")</f>
        <v/>
      </c>
      <c r="M7" s="6" t="inlineStr">
        <is>
          <t>КРУ-10 кВ (22 ячейки) и шинные мосты — ОК (АоРПИ 720). ДГР 975/976 — АоРПИ 651 подписан. Разъединители 5, 6 и фильтры (по TQ — трансформаторы ТМГ21-630/10, зав. № 2152742, 2152756) — в АоРПИ 651.</t>
        </is>
      </c>
    </row>
    <row r="8" ht="39.6" customHeight="1" s="19">
      <c r="A8" s="5" t="inlineStr">
        <is>
          <t>3120 ЭС3</t>
        </is>
      </c>
      <c r="B8" s="6" t="inlineStr">
        <is>
          <t>3120</t>
        </is>
      </c>
      <c r="C8" s="6" t="inlineStr">
        <is>
          <t>ЭС3</t>
        </is>
      </c>
      <c r="D8" s="6" t="inlineStr">
        <is>
          <t>E19006-CXPP-3120-ЭС3.СО-001 / 4В (папка «Последняя версия 2026-4-4», .xlsx)</t>
        </is>
      </c>
      <c r="E8" s="6">
        <f>COUNTA('3120 ЭС3'!B6:B31)</f>
        <v/>
      </c>
      <c r="F8" s="6">
        <f>SUM('3120 ЭС3'!E6:E31)</f>
        <v/>
      </c>
      <c r="G8" s="6">
        <f>SUM('3120 ЭС3'!G6:G31)</f>
        <v/>
      </c>
      <c r="H8" s="6">
        <f>COUNTIF('3120 ЭС3'!L6:L31,"Нет*")</f>
        <v/>
      </c>
      <c r="I8" s="6">
        <f>COUNTIF('3120 ЭС3'!L6:L31,"ОК*")</f>
        <v/>
      </c>
      <c r="J8" s="6">
        <f>COUNTIF('3120 ЭС3'!L6:L31,"*не подписан")</f>
        <v/>
      </c>
      <c r="K8" s="6">
        <f>COUNTIF('3120 ЭС3'!L6:L31,"Зав. № есть, АоРПИ нет")</f>
        <v/>
      </c>
      <c r="L8" s="6">
        <f>COUNTIF('3120 ЭС3'!J6:J31,"-")</f>
        <v/>
      </c>
      <c r="M8" s="6" t="inlineStr">
        <is>
          <t>ТСН 5842/5843 и ЩСН 297-25 — ОК. ЩПТ 25002/25003 — АоРПИ 816 не подписан и с ошибкой в номере. АКБ, стеллажи, кран, ЯВЗШ, сборки DC, ППУ — номеров нет .</t>
        </is>
      </c>
    </row>
    <row r="9" ht="39.6" customHeight="1" s="19">
      <c r="A9" s="5" t="inlineStr">
        <is>
          <t>3120 ЭС4</t>
        </is>
      </c>
      <c r="B9" s="6" t="inlineStr">
        <is>
          <t>3120</t>
        </is>
      </c>
      <c r="C9" s="6" t="inlineStr">
        <is>
          <t>ЭС4</t>
        </is>
      </c>
      <c r="D9" s="6" t="inlineStr">
        <is>
          <t>E19006-CXPP-3120-ЭС4.СО-001 / 4А (.docm) — проверено 28.09.2026: СО ЭС4 новее 4А в папке РД нет</t>
        </is>
      </c>
      <c r="E9" s="6">
        <f>COUNTA('3120 ЭС4'!B6:B24)</f>
        <v/>
      </c>
      <c r="F9" s="6">
        <f>SUM('3120 ЭС4'!E6:E24)</f>
        <v/>
      </c>
      <c r="G9" s="6">
        <f>SUM('3120 ЭС4'!G6:G24)</f>
        <v/>
      </c>
      <c r="H9" s="6">
        <f>COUNTIF('3120 ЭС4'!L6:L24,"Нет*")</f>
        <v/>
      </c>
      <c r="I9" s="6">
        <f>COUNTIF('3120 ЭС4'!L6:L24,"ОК*")</f>
        <v/>
      </c>
      <c r="J9" s="6">
        <f>COUNTIF('3120 ЭС4'!L6:L24,"*не подписан")</f>
        <v/>
      </c>
      <c r="K9" s="6">
        <f>COUNTIF('3120 ЭС4'!L6:L24,"Зав. № есть, АоРПИ нет")</f>
        <v/>
      </c>
      <c r="L9" s="6">
        <f>COUNTIF('3120 ЭС4'!J6:J24,"-")</f>
        <v/>
      </c>
      <c r="M9" s="6" t="inlineStr">
        <is>
          <t>Все шкафы РЗА имеют зав. № (RFI 1556), но АоРПИ 961 не подписан; в нём нет RC15 (10589/21) и дубль 10589/22.</t>
        </is>
      </c>
    </row>
    <row r="10" ht="26.4" customHeight="1" s="19">
      <c r="A10" s="5" t="inlineStr">
        <is>
          <t>3120 ЭС5</t>
        </is>
      </c>
      <c r="B10" s="6" t="inlineStr">
        <is>
          <t>3120</t>
        </is>
      </c>
      <c r="C10" s="6" t="inlineStr">
        <is>
          <t>ЭС5</t>
        </is>
      </c>
      <c r="D10" s="6" t="inlineStr">
        <is>
          <t>E19006-CXPP-3120-ЭС5.СО-001 / 4В (.doc)</t>
        </is>
      </c>
      <c r="E10" s="6">
        <f>COUNTA('3120 ЭС5'!B6:B7)</f>
        <v/>
      </c>
      <c r="F10" s="6">
        <f>SUM('3120 ЭС5'!E6:E7)</f>
        <v/>
      </c>
      <c r="G10" s="6">
        <f>SUM('3120 ЭС5'!G6:G7)</f>
        <v/>
      </c>
      <c r="H10" s="6">
        <f>COUNTIF('3120 ЭС5'!L6:L7,"Нет*")</f>
        <v/>
      </c>
      <c r="I10" s="6">
        <f>COUNTIF('3120 ЭС5'!L6:L7,"ОК*")</f>
        <v/>
      </c>
      <c r="J10" s="6">
        <f>COUNTIF('3120 ЭС5'!L6:L7,"*не подписан")</f>
        <v/>
      </c>
      <c r="K10" s="6">
        <f>COUNTIF('3120 ЭС5'!L6:L7,"Зав. № есть, АоРПИ нет")</f>
        <v/>
      </c>
      <c r="L10" s="6">
        <f>COUNTIF('3120 ЭС5'!J6:J7,"-")</f>
        <v/>
      </c>
      <c r="M10" s="6" t="inlineStr">
        <is>
          <t>ШЗВ, ШПС — ни номеров, ни АоРПИ (в папке 742 лежит копия акта ЭС4).</t>
        </is>
      </c>
    </row>
    <row r="11" ht="66" customHeight="1" s="19">
      <c r="A11" s="5" t="inlineStr">
        <is>
          <t>3120 АСУЭ</t>
        </is>
      </c>
      <c r="B11" s="6" t="inlineStr">
        <is>
          <t>3120</t>
        </is>
      </c>
      <c r="C11" s="6" t="inlineStr">
        <is>
          <t>АСУЭ</t>
        </is>
      </c>
      <c r="D11" s="6" t="inlineStr">
        <is>
          <t>03-50-1200-44-АСУЭ.В4-001 / 4С (pdf, 10.07.2026) — сверено с 4А: состав шкафов и оборудования не изменился; в 4С добавлены обозначения шкафов ATMS, изменены кол-ва кабелей/лотков</t>
        </is>
      </c>
      <c r="E11" s="6">
        <f>COUNTA('3120 АСУЭ'!B6:B40)</f>
        <v/>
      </c>
      <c r="F11" s="6">
        <f>SUM('3120 АСУЭ'!E6:E40)</f>
        <v/>
      </c>
      <c r="G11" s="6">
        <f>SUM('3120 АСУЭ'!G6:G40)</f>
        <v/>
      </c>
      <c r="H11" s="6">
        <f>COUNTIF('3120 АСУЭ'!L6:L40,"Нет*")</f>
        <v/>
      </c>
      <c r="I11" s="6">
        <f>COUNTIF('3120 АСУЭ'!L6:L40,"ОК*")</f>
        <v/>
      </c>
      <c r="J11" s="6">
        <f>COUNTIF('3120 АСУЭ'!L6:L40,"*не подписан")</f>
        <v/>
      </c>
      <c r="K11" s="6">
        <f>COUNTIF('3120 АСУЭ'!L6:L40,"Зав. № есть, АоРПИ нет")</f>
        <v/>
      </c>
      <c r="L11" s="6">
        <f>COUNTIF('3120 АСУЭ'!J6:J40,"-")</f>
        <v/>
      </c>
      <c r="M11" s="6" t="inlineStr">
        <is>
          <t>Все 17 шкафов — ОК (АоРПИ 763 подписан). АРМ, антенны, метеостанция — номеров нет.</t>
        </is>
      </c>
    </row>
    <row r="12" ht="52.8" customHeight="1" s="19">
      <c r="A12" s="5" t="inlineStr">
        <is>
          <t>3120 АИИСКУЭ</t>
        </is>
      </c>
      <c r="B12" s="6" t="inlineStr">
        <is>
          <t>3120</t>
        </is>
      </c>
      <c r="C12" s="6" t="inlineStr">
        <is>
          <t>АИИСКУЭ</t>
        </is>
      </c>
      <c r="D12" s="6" t="inlineStr">
        <is>
          <t>03-50-1200-44-АИИСКУЭ.В4-001 / 4B (pdf, 13.08.2026) — сверено: шкафы те же (EPFASC, MC); изменены марки счётчиков и ноутбука АРМ инженера</t>
        </is>
      </c>
      <c r="E12" s="6">
        <f>COUNTA('3120 АИИСКУЭ'!B6:B24)</f>
        <v/>
      </c>
      <c r="F12" s="6">
        <f>SUM('3120 АИИСКУЭ'!E6:E24)</f>
        <v/>
      </c>
      <c r="G12" s="6">
        <f>SUM('3120 АИИСКУЭ'!G6:G24)</f>
        <v/>
      </c>
      <c r="H12" s="6">
        <f>COUNTIF('3120 АИИСКУЭ'!L6:L24,"Нет*")</f>
        <v/>
      </c>
      <c r="I12" s="6">
        <f>COUNTIF('3120 АИИСКУЭ'!L6:L24,"ОК*")</f>
        <v/>
      </c>
      <c r="J12" s="6">
        <f>COUNTIF('3120 АИИСКУЭ'!L6:L24,"*не подписан")</f>
        <v/>
      </c>
      <c r="K12" s="6">
        <f>COUNTIF('3120 АИИСКУЭ'!L6:L24,"Зав. № есть, АоРПИ нет")</f>
        <v/>
      </c>
      <c r="L12" s="6">
        <f>COUNTIF('3120 АИИСКУЭ'!J6:J24,"-")</f>
        <v/>
      </c>
      <c r="M12" s="6" t="inlineStr">
        <is>
          <t>Шкаф АИИСКУЭ 10589/44 — АоРПИ 781 не подписан, без номера. Шкаф счётчиков 10589/43 — АоРПИ нет. Счётчики СТЭМ — номеров нет.</t>
        </is>
      </c>
    </row>
    <row r="13" ht="26.4" customHeight="1" s="19">
      <c r="A13" s="5" t="inlineStr">
        <is>
          <t>3120 ЭО</t>
        </is>
      </c>
      <c r="B13" s="6" t="inlineStr">
        <is>
          <t>3120</t>
        </is>
      </c>
      <c r="C13" s="6" t="inlineStr">
        <is>
          <t>ЭО</t>
        </is>
      </c>
      <c r="D13" s="6" t="inlineStr">
        <is>
          <t>E19006-CXPP-3120-ЭО.СО-001 / 4А (.xlsx)</t>
        </is>
      </c>
      <c r="E13" s="6">
        <f>COUNTA('3120 ЭО'!B6:B31)</f>
        <v/>
      </c>
      <c r="F13" s="6">
        <f>SUM('3120 ЭО'!E6:E31)</f>
        <v/>
      </c>
      <c r="G13" s="6">
        <f>SUM('3120 ЭО'!G6:G31)</f>
        <v/>
      </c>
      <c r="H13" s="6">
        <f>COUNTIF('3120 ЭО'!L6:L31,"Нет*")</f>
        <v/>
      </c>
      <c r="I13" s="6">
        <f>COUNTIF('3120 ЭО'!L6:L31,"ОК*")</f>
        <v/>
      </c>
      <c r="J13" s="6">
        <f>COUNTIF('3120 ЭО'!L6:L31,"*не подписан")</f>
        <v/>
      </c>
      <c r="K13" s="6">
        <f>COUNTIF('3120 ЭО'!L6:L31,"Зав. № есть, АоРПИ нет")</f>
        <v/>
      </c>
      <c r="L13" s="6">
        <f>COUNTIF('3120 ЭО'!J6:J31,"-")</f>
        <v/>
      </c>
      <c r="M13" s="6" t="inlineStr">
        <is>
          <t>Щиты DY/DS, светильники, ЯТП — номеров нет, АоРПИ на щиты нет; 682, 1070 — не подписаны, 823/859/864 — подписаны.</t>
        </is>
      </c>
    </row>
    <row r="14" ht="26.4" customHeight="1" s="19">
      <c r="A14" s="5" t="inlineStr">
        <is>
          <t>3120 СС</t>
        </is>
      </c>
      <c r="B14" s="6" t="inlineStr">
        <is>
          <t>3120</t>
        </is>
      </c>
      <c r="C14" s="6" t="inlineStr">
        <is>
          <t>СС</t>
        </is>
      </c>
      <c r="D14" s="6" t="inlineStr">
        <is>
          <t>03-91-1200-01-СС.СО-001 / 5 (.docx)</t>
        </is>
      </c>
      <c r="E14" s="6">
        <f>COUNTA('3120 СС'!B6:B8)</f>
        <v/>
      </c>
      <c r="F14" s="6">
        <f>SUM('3120 СС'!E6:E8)</f>
        <v/>
      </c>
      <c r="G14" s="6">
        <f>SUM('3120 СС'!G6:G8)</f>
        <v/>
      </c>
      <c r="H14" s="6">
        <f>COUNTIF('3120 СС'!L6:L8,"Нет*")</f>
        <v/>
      </c>
      <c r="I14" s="6">
        <f>COUNTIF('3120 СС'!L6:L8,"ОК*")</f>
        <v/>
      </c>
      <c r="J14" s="6">
        <f>COUNTIF('3120 СС'!L6:L8,"*не подписан")</f>
        <v/>
      </c>
      <c r="K14" s="6">
        <f>COUNTIF('3120 СС'!L6:L8,"Зав. № есть, АоРПИ нет")</f>
        <v/>
      </c>
      <c r="L14" s="6">
        <f>COUNTIF('3120 СС'!J6:J8,"-")</f>
        <v/>
      </c>
      <c r="M14" s="6" t="inlineStr">
        <is>
          <t>Слаботочное/автоматика: зав. № и АоРПИ на оборудование отсутствуют; есть только кабельные АоРПИ.</t>
        </is>
      </c>
    </row>
    <row r="15" ht="26.4" customHeight="1" s="19">
      <c r="A15" s="5" t="inlineStr">
        <is>
          <t>3121 СС</t>
        </is>
      </c>
      <c r="B15" s="6" t="inlineStr">
        <is>
          <t>3121</t>
        </is>
      </c>
      <c r="C15" s="6" t="inlineStr">
        <is>
          <t>СС</t>
        </is>
      </c>
      <c r="D15" s="6" t="inlineStr">
        <is>
          <t>03-91-1201-44-СС.СО-001 / 5А (.docx)</t>
        </is>
      </c>
      <c r="E15" s="6">
        <f>COUNTA('3121 СС'!B6:B21)</f>
        <v/>
      </c>
      <c r="F15" s="6">
        <f>SUM('3121 СС'!E6:E21)</f>
        <v/>
      </c>
      <c r="G15" s="6">
        <f>SUM('3121 СС'!G6:G21)</f>
        <v/>
      </c>
      <c r="H15" s="6">
        <f>COUNTIF('3121 СС'!L6:L21,"Нет*")</f>
        <v/>
      </c>
      <c r="I15" s="6">
        <f>COUNTIF('3121 СС'!L6:L21,"ОК*")</f>
        <v/>
      </c>
      <c r="J15" s="6">
        <f>COUNTIF('3121 СС'!L6:L21,"*не подписан")</f>
        <v/>
      </c>
      <c r="K15" s="6">
        <f>COUNTIF('3121 СС'!L6:L21,"Зав. № есть, АоРПИ нет")</f>
        <v/>
      </c>
      <c r="L15" s="6">
        <f>COUNTIF('3121 СС'!J6:J21,"-")</f>
        <v/>
      </c>
      <c r="M15" s="6" t="inlineStr">
        <is>
          <t>Слаботочное/автоматика: зав. № и АоРПИ на оборудование отсутствуют; есть только кабельные АоРПИ.</t>
        </is>
      </c>
    </row>
    <row r="16" ht="26.4" customHeight="1" s="19">
      <c r="A16" s="5" t="inlineStr">
        <is>
          <t>3121 ОС</t>
        </is>
      </c>
      <c r="B16" s="6" t="inlineStr">
        <is>
          <t>3121</t>
        </is>
      </c>
      <c r="C16" s="6" t="inlineStr">
        <is>
          <t>ОС</t>
        </is>
      </c>
      <c r="D16" s="6" t="inlineStr">
        <is>
          <t>03-91-1201-44-ОС.СО-001 / 5 (.xlsx)</t>
        </is>
      </c>
      <c r="E16" s="6">
        <f>COUNTA('3121 ОС'!B6:B18)</f>
        <v/>
      </c>
      <c r="F16" s="6">
        <f>SUM('3121 ОС'!E6:E18)</f>
        <v/>
      </c>
      <c r="G16" s="6">
        <f>SUM('3121 ОС'!G6:G18)</f>
        <v/>
      </c>
      <c r="H16" s="6">
        <f>COUNTIF('3121 ОС'!L6:L18,"Нет*")</f>
        <v/>
      </c>
      <c r="I16" s="6">
        <f>COUNTIF('3121 ОС'!L6:L18,"ОК*")</f>
        <v/>
      </c>
      <c r="J16" s="6">
        <f>COUNTIF('3121 ОС'!L6:L18,"*не подписан")</f>
        <v/>
      </c>
      <c r="K16" s="6">
        <f>COUNTIF('3121 ОС'!L6:L18,"Зав. № есть, АоРПИ нет")</f>
        <v/>
      </c>
      <c r="L16" s="6">
        <f>COUNTIF('3121 ОС'!J6:J18,"-")</f>
        <v/>
      </c>
      <c r="M16" s="6" t="inlineStr">
        <is>
          <t>Слаботочное/автоматика: зав. № и АоРПИ на оборудование отсутствуют; есть только кабельные АоРПИ.</t>
        </is>
      </c>
    </row>
    <row r="17" ht="26.4" customHeight="1" s="19">
      <c r="A17" s="5" t="inlineStr">
        <is>
          <t>3121 СКУД</t>
        </is>
      </c>
      <c r="B17" s="6" t="inlineStr">
        <is>
          <t>3121</t>
        </is>
      </c>
      <c r="C17" s="6" t="inlineStr">
        <is>
          <t>СКУД</t>
        </is>
      </c>
      <c r="D17" s="6" t="inlineStr">
        <is>
          <t>03-91-1201-44-СКУД.СО-001 / 5 (.docx)</t>
        </is>
      </c>
      <c r="E17" s="6">
        <f>COUNTA('3121 СКУД'!B6:B15)</f>
        <v/>
      </c>
      <c r="F17" s="6">
        <f>SUM('3121 СКУД'!E6:E15)</f>
        <v/>
      </c>
      <c r="G17" s="6">
        <f>SUM('3121 СКУД'!G6:G15)</f>
        <v/>
      </c>
      <c r="H17" s="6">
        <f>COUNTIF('3121 СКУД'!L6:L15,"Нет*")</f>
        <v/>
      </c>
      <c r="I17" s="6">
        <f>COUNTIF('3121 СКУД'!L6:L15,"ОК*")</f>
        <v/>
      </c>
      <c r="J17" s="6">
        <f>COUNTIF('3121 СКУД'!L6:L15,"*не подписан")</f>
        <v/>
      </c>
      <c r="K17" s="6">
        <f>COUNTIF('3121 СКУД'!L6:L15,"Зав. № есть, АоРПИ нет")</f>
        <v/>
      </c>
      <c r="L17" s="6">
        <f>COUNTIF('3121 СКУД'!J6:J15,"-")</f>
        <v/>
      </c>
      <c r="M17" s="6" t="inlineStr">
        <is>
          <t>Слаботочное/автоматика: зав. № и АоРПИ на оборудование отсутствуют; есть только кабельные АоРПИ.</t>
        </is>
      </c>
    </row>
    <row r="18" ht="26.4" customHeight="1" s="19">
      <c r="A18" s="5" t="inlineStr">
        <is>
          <t>3121 ПС</t>
        </is>
      </c>
      <c r="B18" s="6" t="inlineStr">
        <is>
          <t>3121</t>
        </is>
      </c>
      <c r="C18" s="6" t="inlineStr">
        <is>
          <t>ПС</t>
        </is>
      </c>
      <c r="D18" s="6" t="inlineStr">
        <is>
          <t>03-91-1201-44-ПС.СО-001 / 4B (.docx)</t>
        </is>
      </c>
      <c r="E18" s="6">
        <f>COUNTA('3121 ПС'!B6:B20)</f>
        <v/>
      </c>
      <c r="F18" s="6">
        <f>SUM('3121 ПС'!E6:E20)</f>
        <v/>
      </c>
      <c r="G18" s="6">
        <f>SUM('3121 ПС'!G6:G20)</f>
        <v/>
      </c>
      <c r="H18" s="6">
        <f>COUNTIF('3121 ПС'!L6:L20,"Нет*")</f>
        <v/>
      </c>
      <c r="I18" s="6">
        <f>COUNTIF('3121 ПС'!L6:L20,"ОК*")</f>
        <v/>
      </c>
      <c r="J18" s="6">
        <f>COUNTIF('3121 ПС'!L6:L20,"*не подписан")</f>
        <v/>
      </c>
      <c r="K18" s="6">
        <f>COUNTIF('3121 ПС'!L6:L20,"Зав. № есть, АоРПИ нет")</f>
        <v/>
      </c>
      <c r="L18" s="6">
        <f>COUNTIF('3121 ПС'!J6:J20,"-")</f>
        <v/>
      </c>
      <c r="M18" s="6" t="inlineStr">
        <is>
          <t>Слаботочное/автоматика: зав. № и АоРПИ на оборудование отсутствуют; есть только кабельные АоРПИ.</t>
        </is>
      </c>
    </row>
    <row r="19" ht="26.4" customHeight="1" s="19">
      <c r="A19" s="5" t="inlineStr">
        <is>
          <t>3121 АОВ</t>
        </is>
      </c>
      <c r="B19" s="6" t="inlineStr">
        <is>
          <t>3121</t>
        </is>
      </c>
      <c r="C19" s="6" t="inlineStr">
        <is>
          <t>АОВ</t>
        </is>
      </c>
      <c r="D19" s="6" t="inlineStr">
        <is>
          <t>03-50-1201-44-АОВ.СО-001 / 4A (.xlsx)</t>
        </is>
      </c>
      <c r="E19" s="6">
        <f>COUNTA('3121 АОВ'!B6:B12)</f>
        <v/>
      </c>
      <c r="F19" s="6">
        <f>SUM('3121 АОВ'!E6:E12)</f>
        <v/>
      </c>
      <c r="G19" s="6">
        <f>SUM('3121 АОВ'!G6:G12)</f>
        <v/>
      </c>
      <c r="H19" s="6">
        <f>COUNTIF('3121 АОВ'!L6:L12,"Нет*")</f>
        <v/>
      </c>
      <c r="I19" s="6">
        <f>COUNTIF('3121 АОВ'!L6:L12,"ОК*")</f>
        <v/>
      </c>
      <c r="J19" s="6">
        <f>COUNTIF('3121 АОВ'!L6:L12,"*не подписан")</f>
        <v/>
      </c>
      <c r="K19" s="6">
        <f>COUNTIF('3121 АОВ'!L6:L12,"Зав. № есть, АоРПИ нет")</f>
        <v/>
      </c>
      <c r="L19" s="6">
        <f>COUNTIF('3121 АОВ'!J6:J12,"-")</f>
        <v/>
      </c>
      <c r="M19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0" ht="26.4" customHeight="1" s="19">
      <c r="A20" s="5" t="inlineStr">
        <is>
          <t>3121 АОВ1</t>
        </is>
      </c>
      <c r="B20" s="6" t="inlineStr">
        <is>
          <t>3121</t>
        </is>
      </c>
      <c r="C20" s="6" t="inlineStr">
        <is>
          <t>АОВ1</t>
        </is>
      </c>
      <c r="D20" s="6" t="inlineStr">
        <is>
          <t>03-50-1201-44-АОВ1.СО-001 / 4B (.doc)</t>
        </is>
      </c>
      <c r="E20" s="6">
        <f>COUNTA('3121 АОВ1'!B6:B13)</f>
        <v/>
      </c>
      <c r="F20" s="6">
        <f>SUM('3121 АОВ1'!E6:E13)</f>
        <v/>
      </c>
      <c r="G20" s="6">
        <f>SUM('3121 АОВ1'!G6:G13)</f>
        <v/>
      </c>
      <c r="H20" s="6">
        <f>COUNTIF('3121 АОВ1'!L6:L13,"Нет*")</f>
        <v/>
      </c>
      <c r="I20" s="6">
        <f>COUNTIF('3121 АОВ1'!L6:L13,"ОК*")</f>
        <v/>
      </c>
      <c r="J20" s="6">
        <f>COUNTIF('3121 АОВ1'!L6:L13,"*не подписан")</f>
        <v/>
      </c>
      <c r="K20" s="6">
        <f>COUNTIF('3121 АОВ1'!L6:L13,"Зав. № есть, АоРПИ нет")</f>
        <v/>
      </c>
      <c r="L20" s="6">
        <f>COUNTIF('3121 АОВ1'!J6:J13,"-")</f>
        <v/>
      </c>
      <c r="M20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1" ht="26.4" customHeight="1" s="19">
      <c r="A21" s="5" t="inlineStr">
        <is>
          <t>3123 СС</t>
        </is>
      </c>
      <c r="B21" s="6" t="inlineStr">
        <is>
          <t>3123</t>
        </is>
      </c>
      <c r="C21" s="6" t="inlineStr">
        <is>
          <t>СС</t>
        </is>
      </c>
      <c r="D21" s="6" t="inlineStr">
        <is>
          <t>03-91-1203-44-СС.СО-001 / 4B (.docx); в папке 5 — pdf</t>
        </is>
      </c>
      <c r="E21" s="6">
        <f>COUNTA('3123 СС'!B6:B9)</f>
        <v/>
      </c>
      <c r="F21" s="6">
        <f>SUM('3123 СС'!E6:E9)</f>
        <v/>
      </c>
      <c r="G21" s="6">
        <f>SUM('3123 СС'!G6:G9)</f>
        <v/>
      </c>
      <c r="H21" s="6">
        <f>COUNTIF('3123 СС'!L6:L9,"Нет*")</f>
        <v/>
      </c>
      <c r="I21" s="6">
        <f>COUNTIF('3123 СС'!L6:L9,"ОК*")</f>
        <v/>
      </c>
      <c r="J21" s="6">
        <f>COUNTIF('3123 СС'!L6:L9,"*не подписан")</f>
        <v/>
      </c>
      <c r="K21" s="6">
        <f>COUNTIF('3123 СС'!L6:L9,"Зав. № есть, АоРПИ нет")</f>
        <v/>
      </c>
      <c r="L21" s="6">
        <f>COUNTIF('3123 СС'!J6:J9,"-")</f>
        <v/>
      </c>
      <c r="M21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2" ht="26.4" customHeight="1" s="19">
      <c r="A22" s="5" t="inlineStr">
        <is>
          <t>3123 ОС</t>
        </is>
      </c>
      <c r="B22" s="6" t="inlineStr">
        <is>
          <t>3123</t>
        </is>
      </c>
      <c r="C22" s="6" t="inlineStr">
        <is>
          <t>ОС</t>
        </is>
      </c>
      <c r="D22" s="6" t="inlineStr">
        <is>
          <t>03-91-1203-44-ОС.СО-001 / 5 (.docx)</t>
        </is>
      </c>
      <c r="E22" s="6">
        <f>COUNTA('3123 ОС'!B6:B9)</f>
        <v/>
      </c>
      <c r="F22" s="6">
        <f>SUM('3123 ОС'!E6:E9)</f>
        <v/>
      </c>
      <c r="G22" s="6">
        <f>SUM('3123 ОС'!G6:G9)</f>
        <v/>
      </c>
      <c r="H22" s="6">
        <f>COUNTIF('3123 ОС'!L6:L9,"Нет*")</f>
        <v/>
      </c>
      <c r="I22" s="6">
        <f>COUNTIF('3123 ОС'!L6:L9,"ОК*")</f>
        <v/>
      </c>
      <c r="J22" s="6">
        <f>COUNTIF('3123 ОС'!L6:L9,"*не подписан")</f>
        <v/>
      </c>
      <c r="K22" s="6">
        <f>COUNTIF('3123 ОС'!L6:L9,"Зав. № есть, АоРПИ нет")</f>
        <v/>
      </c>
      <c r="L22" s="6">
        <f>COUNTIF('3123 ОС'!J6:J9,"-")</f>
        <v/>
      </c>
      <c r="M22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3" ht="26.4" customHeight="1" s="19">
      <c r="A23" s="5" t="inlineStr">
        <is>
          <t>3123 СКУД</t>
        </is>
      </c>
      <c r="B23" s="6" t="inlineStr">
        <is>
          <t>3123</t>
        </is>
      </c>
      <c r="C23" s="6" t="inlineStr">
        <is>
          <t>СКУД</t>
        </is>
      </c>
      <c r="D23" s="6" t="inlineStr">
        <is>
          <t>03-91-1203-44-СКУД.СО-001 / 5 (.docx)</t>
        </is>
      </c>
      <c r="E23" s="6">
        <f>COUNTA('3123 СКУД'!B6:B11)</f>
        <v/>
      </c>
      <c r="F23" s="6">
        <f>SUM('3123 СКУД'!E6:E11)</f>
        <v/>
      </c>
      <c r="G23" s="6">
        <f>SUM('3123 СКУД'!G6:G11)</f>
        <v/>
      </c>
      <c r="H23" s="6">
        <f>COUNTIF('3123 СКУД'!L6:L11,"Нет*")</f>
        <v/>
      </c>
      <c r="I23" s="6">
        <f>COUNTIF('3123 СКУД'!L6:L11,"ОК*")</f>
        <v/>
      </c>
      <c r="J23" s="6">
        <f>COUNTIF('3123 СКУД'!L6:L11,"*не подписан")</f>
        <v/>
      </c>
      <c r="K23" s="6">
        <f>COUNTIF('3123 СКУД'!L6:L11,"Зав. № есть, АоРПИ нет")</f>
        <v/>
      </c>
      <c r="L23" s="6">
        <f>COUNTIF('3123 СКУД'!J6:J11,"-")</f>
        <v/>
      </c>
      <c r="M23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4" ht="26.4" customHeight="1" s="19">
      <c r="A24" s="5" t="inlineStr">
        <is>
          <t>3123 ПС</t>
        </is>
      </c>
      <c r="B24" s="6" t="inlineStr">
        <is>
          <t>3123</t>
        </is>
      </c>
      <c r="C24" s="6" t="inlineStr">
        <is>
          <t>ПС</t>
        </is>
      </c>
      <c r="D24" s="6" t="inlineStr">
        <is>
          <t>03-91-1203-44-ПС.СО-001 / 4A (.docx)</t>
        </is>
      </c>
      <c r="E24" s="6">
        <f>COUNTA('3123 ПС'!B6:B13)</f>
        <v/>
      </c>
      <c r="F24" s="6">
        <f>SUM('3123 ПС'!E6:E13)</f>
        <v/>
      </c>
      <c r="G24" s="6">
        <f>SUM('3123 ПС'!G6:G13)</f>
        <v/>
      </c>
      <c r="H24" s="6">
        <f>COUNTIF('3123 ПС'!L6:L13,"Нет*")</f>
        <v/>
      </c>
      <c r="I24" s="6">
        <f>COUNTIF('3123 ПС'!L6:L13,"ОК*")</f>
        <v/>
      </c>
      <c r="J24" s="6">
        <f>COUNTIF('3123 ПС'!L6:L13,"*не подписан")</f>
        <v/>
      </c>
      <c r="K24" s="6">
        <f>COUNTIF('3123 ПС'!L6:L13,"Зав. № есть, АоРПИ нет")</f>
        <v/>
      </c>
      <c r="L24" s="6">
        <f>COUNTIF('3123 ПС'!J6:J13,"-")</f>
        <v/>
      </c>
      <c r="M24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5" ht="26.4" customHeight="1" s="19">
      <c r="A25" s="5" t="inlineStr">
        <is>
          <t>3123 АОВ</t>
        </is>
      </c>
      <c r="B25" s="6" t="inlineStr">
        <is>
          <t>3123</t>
        </is>
      </c>
      <c r="C25" s="6" t="inlineStr">
        <is>
          <t>АОВ</t>
        </is>
      </c>
      <c r="D25" s="6" t="inlineStr">
        <is>
          <t>03-50-1203-44-АОВ.СО-001 / 4A (.docx)</t>
        </is>
      </c>
      <c r="E25" s="6">
        <f>COUNTA('3123 АОВ'!B6:B8)</f>
        <v/>
      </c>
      <c r="F25" s="6">
        <f>SUM('3123 АОВ'!E6:E8)</f>
        <v/>
      </c>
      <c r="G25" s="6">
        <f>SUM('3123 АОВ'!G6:G8)</f>
        <v/>
      </c>
      <c r="H25" s="6">
        <f>COUNTIF('3123 АОВ'!L6:L8,"Нет*")</f>
        <v/>
      </c>
      <c r="I25" s="6">
        <f>COUNTIF('3123 АОВ'!L6:L8,"ОК*")</f>
        <v/>
      </c>
      <c r="J25" s="6">
        <f>COUNTIF('3123 АОВ'!L6:L8,"*не подписан")</f>
        <v/>
      </c>
      <c r="K25" s="6">
        <f>COUNTIF('3123 АОВ'!L6:L8,"Зав. № есть, АоРПИ нет")</f>
        <v/>
      </c>
      <c r="L25" s="6">
        <f>COUNTIF('3123 АОВ'!J6:J8,"-")</f>
        <v/>
      </c>
      <c r="M25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6" ht="26.4" customHeight="1" s="19">
      <c r="A26" s="5" t="inlineStr">
        <is>
          <t>3123 АОВ1</t>
        </is>
      </c>
      <c r="B26" s="6" t="inlineStr">
        <is>
          <t>3123</t>
        </is>
      </c>
      <c r="C26" s="6" t="inlineStr">
        <is>
          <t>АОВ1</t>
        </is>
      </c>
      <c r="D26" s="6" t="inlineStr">
        <is>
          <t>03-50-1203-44-АОВ1.СО-001 / 4B (.doc)</t>
        </is>
      </c>
      <c r="E26" s="6">
        <f>COUNTA('3123 АОВ1'!B6:B9)</f>
        <v/>
      </c>
      <c r="F26" s="6">
        <f>SUM('3123 АОВ1'!E6:E9)</f>
        <v/>
      </c>
      <c r="G26" s="6">
        <f>SUM('3123 АОВ1'!G6:G9)</f>
        <v/>
      </c>
      <c r="H26" s="6">
        <f>COUNTIF('3123 АОВ1'!L6:L9,"Нет*")</f>
        <v/>
      </c>
      <c r="I26" s="6">
        <f>COUNTIF('3123 АОВ1'!L6:L9,"ОК*")</f>
        <v/>
      </c>
      <c r="J26" s="6">
        <f>COUNTIF('3123 АОВ1'!L6:L9,"*не подписан")</f>
        <v/>
      </c>
      <c r="K26" s="6">
        <f>COUNTIF('3123 АОВ1'!L6:L9,"Зав. № есть, АоРПИ нет")</f>
        <v/>
      </c>
      <c r="L26" s="6">
        <f>COUNTIF('3123 АОВ1'!J6:J9,"-")</f>
        <v/>
      </c>
      <c r="M26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7" ht="26.4" customHeight="1" s="19">
      <c r="A27" s="5" t="inlineStr">
        <is>
          <t>3128 ОС</t>
        </is>
      </c>
      <c r="B27" s="6" t="inlineStr">
        <is>
          <t>3128</t>
        </is>
      </c>
      <c r="C27" s="6" t="inlineStr">
        <is>
          <t>ОС</t>
        </is>
      </c>
      <c r="D27" s="6" t="inlineStr">
        <is>
          <t>03-91-1200-44-ОС.СО-001 / 5 (.docx)</t>
        </is>
      </c>
      <c r="E27" s="6">
        <f>COUNTA('3128 ОС'!B6:B14)</f>
        <v/>
      </c>
      <c r="F27" s="6">
        <f>SUM('3128 ОС'!E6:E14)</f>
        <v/>
      </c>
      <c r="G27" s="6">
        <f>SUM('3128 ОС'!G6:G14)</f>
        <v/>
      </c>
      <c r="H27" s="6">
        <f>COUNTIF('3128 ОС'!L6:L14,"Нет*")</f>
        <v/>
      </c>
      <c r="I27" s="6">
        <f>COUNTIF('3128 ОС'!L6:L14,"ОК*")</f>
        <v/>
      </c>
      <c r="J27" s="6">
        <f>COUNTIF('3128 ОС'!L6:L14,"*не подписан")</f>
        <v/>
      </c>
      <c r="K27" s="6">
        <f>COUNTIF('3128 ОС'!L6:L14,"Зав. № есть, АоРПИ нет")</f>
        <v/>
      </c>
      <c r="L27" s="6">
        <f>COUNTIF('3128 ОС'!J6:J14,"-")</f>
        <v/>
      </c>
      <c r="M27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8" ht="26.4" customHeight="1" s="19">
      <c r="A28" s="5" t="inlineStr">
        <is>
          <t>3128 СОО</t>
        </is>
      </c>
      <c r="B28" s="6" t="inlineStr">
        <is>
          <t>3128</t>
        </is>
      </c>
      <c r="C28" s="6" t="inlineStr">
        <is>
          <t>СОО</t>
        </is>
      </c>
      <c r="D28" s="6" t="inlineStr">
        <is>
          <t>03-91-1200-44-СОО.СО-001 / 5 (.docx)</t>
        </is>
      </c>
      <c r="E28" s="6">
        <f>COUNTA('3128 СОО'!B6:B9)</f>
        <v/>
      </c>
      <c r="F28" s="6">
        <f>SUM('3128 СОО'!E6:E9)</f>
        <v/>
      </c>
      <c r="G28" s="6">
        <f>SUM('3128 СОО'!G6:G9)</f>
        <v/>
      </c>
      <c r="H28" s="6">
        <f>COUNTIF('3128 СОО'!L6:L9,"Нет*")</f>
        <v/>
      </c>
      <c r="I28" s="6">
        <f>COUNTIF('3128 СОО'!L6:L9,"ОК*")</f>
        <v/>
      </c>
      <c r="J28" s="6">
        <f>COUNTIF('3128 СОО'!L6:L9,"*не подписан")</f>
        <v/>
      </c>
      <c r="K28" s="6">
        <f>COUNTIF('3128 СОО'!L6:L9,"Зав. № есть, АоРПИ нет")</f>
        <v/>
      </c>
      <c r="L28" s="6">
        <f>COUNTIF('3128 СОО'!J6:J9,"-")</f>
        <v/>
      </c>
      <c r="M28" s="6" t="inlineStr">
        <is>
          <t>Слаботочное/автоматика: зав. № и АоРПИ на оборудование отсутствуют; есть только кабельные АоРПИ.</t>
        </is>
      </c>
    </row>
    <row r="29" ht="26.4" customHeight="1" s="19">
      <c r="A29" s="5" t="inlineStr">
        <is>
          <t>3128 СОТ</t>
        </is>
      </c>
      <c r="B29" s="6" t="inlineStr">
        <is>
          <t>3128</t>
        </is>
      </c>
      <c r="C29" s="6" t="inlineStr">
        <is>
          <t>СОТ</t>
        </is>
      </c>
      <c r="D29" s="6" t="inlineStr">
        <is>
          <t>03-91-1200-44-СОТ.СО-001 / 5 (.xlsx)</t>
        </is>
      </c>
      <c r="E29" s="6">
        <f>COUNTA('3128 СОТ'!B6:B8)</f>
        <v/>
      </c>
      <c r="F29" s="6">
        <f>SUM('3128 СОТ'!E6:E8)</f>
        <v/>
      </c>
      <c r="G29" s="6">
        <f>SUM('3128 СОТ'!G6:G8)</f>
        <v/>
      </c>
      <c r="H29" s="6">
        <f>COUNTIF('3128 СОТ'!L6:L8,"Нет*")</f>
        <v/>
      </c>
      <c r="I29" s="6">
        <f>COUNTIF('3128 СОТ'!L6:L8,"ОК*")</f>
        <v/>
      </c>
      <c r="J29" s="6">
        <f>COUNTIF('3128 СОТ'!L6:L8,"*не подписан")</f>
        <v/>
      </c>
      <c r="K29" s="6">
        <f>COUNTIF('3128 СОТ'!L6:L8,"Зав. № есть, АоРПИ нет")</f>
        <v/>
      </c>
      <c r="L29" s="6">
        <f>COUNTIF('3128 СОТ'!J6:J8,"-")</f>
        <v/>
      </c>
      <c r="M29" s="6" t="inlineStr">
        <is>
          <t>Слаботочное/автоматика: зав. № и АоРПИ на оборудование отсутствуют; есть только кабельные АоРПИ.</t>
        </is>
      </c>
    </row>
    <row r="30">
      <c r="C30" s="7" t="inlineStr">
        <is>
          <t>ИТОГО</t>
        </is>
      </c>
      <c r="E30" s="8">
        <f>SUM(E6:E29)</f>
        <v/>
      </c>
      <c r="F30" s="8">
        <f>SUM(F6:F29)</f>
        <v/>
      </c>
      <c r="G30" s="8">
        <f>SUM(G6:G29)</f>
        <v/>
      </c>
      <c r="H30" s="8">
        <f>SUM(H6:H29)</f>
        <v/>
      </c>
      <c r="I30" s="8">
        <f>SUM(I6:I29)</f>
        <v/>
      </c>
      <c r="J30" s="8">
        <f>SUM(J6:J29)</f>
        <v/>
      </c>
      <c r="K30" s="8">
        <f>SUM(K6:K29)</f>
        <v/>
      </c>
      <c r="L30" s="8">
        <f>SUM(L6:L29)</f>
        <v/>
      </c>
    </row>
    <row r="32">
      <c r="A32" s="9" t="inlineStr">
        <is>
          <t>Как читать: вкладка раздела → столбец «Заводской №» (пусто = номер не найден ни в АоРПИ, ни в RFI), «АоРПИ» (- = акта в папке ВК нет), «Итог» — формула по этим столбцам.</t>
        </is>
      </c>
    </row>
    <row r="33">
      <c r="A33" s="9" t="inlineStr">
        <is>
          <t>Вкладка «Нет зав. №» — сводный перечень того, по чему номеров не хватает (силовое оборудование 3120 выделено жёлтым).</t>
        </is>
      </c>
    </row>
    <row r="34">
      <c r="A34" s="9" t="inlineStr">
        <is>
          <t>Столбцы O–R во вкладках 3120 — данные «Сводной по подстанции 17.08.2026» (RFI, АоРПИ, замечания) и результат сверки; недостающие RFI/АоРПИ и позиции (АРМ, КИП-С, резисторы, ЭНИП, БАП и др.) перенесены в свод. Статусы АоРПИ обновлены по папке ВК на 28.09.2026.</t>
        </is>
      </c>
    </row>
    <row r="35">
      <c r="A35" s="9" t="inlineStr">
        <is>
          <t>Вкладка «АоРПИ» — все найденные акты по титулам 312х (кроме КЖ/КМ/ЭГ-материалов) со статусом и ссылками; «RFI» — разбор RFI 1440, 1472-1, 1576/1576-1, 1614/1614-1, 1709/1709(1), 1828 и др.</t>
        </is>
      </c>
    </row>
  </sheetData>
  <hyperlinks>
    <hyperlink xmlns:r="http://schemas.openxmlformats.org/officeDocument/2006/relationships" ref="A3" r:id="rId1"/>
    <hyperlink ref="A6" location="'3120 ЭС1'!A1" display="3120 ЭС1"/>
    <hyperlink ref="A7" location="'3120 ЭС2'!A1" display="3120 ЭС2"/>
    <hyperlink ref="A8" location="'3120 ЭС3'!A1" display="3120 ЭС3"/>
    <hyperlink ref="A9" location="'3120 ЭС4'!A1" display="3120 ЭС4"/>
    <hyperlink ref="A10" location="'3120 ЭС5'!A1" display="3120 ЭС5"/>
    <hyperlink ref="A11" location="'3120 АСУЭ'!A1" display="3120 АСУЭ"/>
    <hyperlink ref="A12" location="'3120 АИИСКУЭ'!A1" display="3120 АИИСКУЭ"/>
    <hyperlink ref="A13" location="'3120 ЭО'!A1" display="3120 ЭО"/>
    <hyperlink ref="A14" location="'3120 СС'!A1" display="3120 СС"/>
    <hyperlink ref="A15" location="'3121 СС'!A1" display="3121 СС"/>
    <hyperlink ref="A16" location="'3121 ОС'!A1" display="3121 ОС"/>
    <hyperlink ref="A17" location="'3121 СКУД'!A1" display="3121 СКУД"/>
    <hyperlink ref="A18" location="'3121 ПС'!A1" display="3121 ПС"/>
    <hyperlink ref="A19" location="'3121 АОВ'!A1" display="3121 АОВ"/>
    <hyperlink ref="A20" location="'3121 АОВ1'!A1" display="3121 АОВ1"/>
    <hyperlink ref="A21" location="'3123 СС'!A1" display="3123 СС"/>
    <hyperlink ref="A22" location="'3123 ОС'!A1" display="3123 ОС"/>
    <hyperlink ref="A23" location="'3123 СКУД'!A1" display="3123 СКУД"/>
    <hyperlink ref="A24" location="'3123 ПС'!A1" display="3123 ПС"/>
    <hyperlink ref="A25" location="'3123 АОВ'!A1" display="3123 АОВ"/>
    <hyperlink ref="A26" location="'3123 АОВ1'!A1" display="3123 АОВ1"/>
    <hyperlink ref="A27" location="'3128 ОС'!A1" display="3128 ОС"/>
    <hyperlink ref="A28" location="'3128 СОО'!A1" display="3128 СОО"/>
    <hyperlink ref="A29" location="'3128 СОТ'!A1" display="3128 СОТ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4" customWidth="1" style="19" min="1" max="1"/>
    <col width="22" customWidth="1" style="19" min="2" max="2"/>
    <col width="46" customWidth="1" style="19" min="3" max="3"/>
    <col width="28" customWidth="1" style="19" min="4" max="4"/>
    <col width="8" customWidth="1" style="19" min="5" max="5"/>
    <col width="14" customWidth="1" style="19" min="6" max="6"/>
    <col width="26" customWidth="1" style="19" min="7" max="7"/>
    <col width="60" customWidth="1" style="19" min="8" max="8"/>
  </cols>
  <sheetData>
    <row r="1" ht="15.6" customHeight="1" s="19">
      <c r="A1" s="10" t="inlineStr">
        <is>
          <t>Оборудование, на которое заводские номера не найдены (что нужно запросить)</t>
        </is>
      </c>
    </row>
    <row r="2">
      <c r="A2" s="2" t="inlineStr">
        <is>
          <t>Сформировано из вкладок разделов: строки с пустым столбцом «Заводской №». Приоритет — силовое оборудование 3120 (ЭС1–ЭС5, АСУЭ, АИИСКУЭ).</t>
        </is>
      </c>
    </row>
    <row r="4" ht="42" customHeight="1" s="19">
      <c r="A4" s="4" t="inlineStr">
        <is>
          <t>Вкладка</t>
        </is>
      </c>
      <c r="B4" s="4" t="inlineStr">
        <is>
          <t>Поз. / тег</t>
        </is>
      </c>
      <c r="C4" s="4" t="inlineStr">
        <is>
          <t>Наименование</t>
        </is>
      </c>
      <c r="D4" s="4" t="inlineStr">
        <is>
          <t>Тип, марка</t>
        </is>
      </c>
      <c r="E4" s="4" t="inlineStr">
        <is>
          <t>Кол-во</t>
        </is>
      </c>
      <c r="F4" s="4" t="inlineStr">
        <is>
          <t>RFI</t>
        </is>
      </c>
      <c r="G4" s="4" t="inlineStr">
        <is>
          <t>АоРПИ</t>
        </is>
      </c>
      <c r="H4" s="4" t="inlineStr">
        <is>
          <t>Примечание / где искать</t>
        </is>
      </c>
    </row>
    <row r="5" ht="26.4" customHeight="1" s="19">
      <c r="A5" s="11" t="inlineStr">
        <is>
          <t>3120 ЭС1</t>
        </is>
      </c>
      <c r="B5" s="6" t="inlineStr">
        <is>
          <t>—</t>
        </is>
      </c>
      <c r="C5" s="6" t="inlineStr">
        <is>
          <t>Шкаф местного управления 1200х900х2000, IP55</t>
        </is>
      </c>
      <c r="D5" s="6" t="inlineStr">
        <is>
          <t>ШМУ (Sieyuan)</t>
        </is>
      </c>
      <c r="E5" s="6" t="n">
        <v>2</v>
      </c>
      <c r="F5" s="6" t="inlineStr">
        <is>
          <t>1440</t>
        </is>
      </c>
      <c r="G5" s="6" t="inlineStr">
        <is>
          <t>-</t>
        </is>
      </c>
      <c r="H5" s="6" t="inlineStr">
        <is>
          <t>В RFI 1440 только чертёжный № SGF24012NS6010; зав. № не найден</t>
        </is>
      </c>
    </row>
    <row r="6" ht="26.4" customHeight="1" s="19">
      <c r="A6" s="11" t="inlineStr">
        <is>
          <t>3120 ЭС1</t>
        </is>
      </c>
      <c r="B6" s="6" t="inlineStr">
        <is>
          <t>—</t>
        </is>
      </c>
      <c r="C6" s="6" t="inlineStr">
        <is>
          <t>Шкаф местного управления 980х900х2000, IP55</t>
        </is>
      </c>
      <c r="D6" s="6" t="inlineStr">
        <is>
          <t>ШМУ (Sieyuan)</t>
        </is>
      </c>
      <c r="E6" s="6" t="n">
        <v>2</v>
      </c>
      <c r="F6" s="6" t="inlineStr">
        <is>
          <t>1440</t>
        </is>
      </c>
      <c r="G6" s="6" t="inlineStr">
        <is>
          <t>-</t>
        </is>
      </c>
      <c r="H6" s="6" t="inlineStr">
        <is>
          <t>В RFI 1440 чертёжные № SGF24012NS6020/6030; зав. № не найден</t>
        </is>
      </c>
    </row>
    <row r="7">
      <c r="A7" s="11" t="inlineStr">
        <is>
          <t>3120 ЭС1</t>
        </is>
      </c>
      <c r="B7" s="6" t="inlineStr">
        <is>
          <t>—</t>
        </is>
      </c>
      <c r="C7" s="6" t="inlineStr">
        <is>
          <t>Шкаф онлайн-мониторинга 980х900х2000, IP54</t>
        </is>
      </c>
      <c r="D7" s="6" t="inlineStr">
        <is>
          <t>Sieyuan</t>
        </is>
      </c>
      <c r="E7" s="6" t="n">
        <v>1</v>
      </c>
      <c r="F7" s="6" t="inlineStr">
        <is>
          <t>1440</t>
        </is>
      </c>
      <c r="G7" s="6" t="inlineStr">
        <is>
          <t>-</t>
        </is>
      </c>
      <c r="H7" s="6" t="inlineStr">
        <is>
          <t>В RFI 1440 «Система мониторинга» NS1313–1315 без зав. №</t>
        </is>
      </c>
    </row>
    <row r="8" ht="26.4" customHeight="1" s="19">
      <c r="A8" s="11" t="inlineStr">
        <is>
          <t>3120 ЭС1</t>
        </is>
      </c>
      <c r="B8" s="6" t="inlineStr">
        <is>
          <t>—</t>
        </is>
      </c>
      <c r="C8" s="6" t="inlineStr">
        <is>
          <t>Токопровод 10 кВ закрытый 2000 А, 50 кА, с ОПН 10 кВ</t>
        </is>
      </c>
      <c r="D8" s="6" t="inlineStr">
        <is>
          <t>Jiangsu Shilin</t>
        </is>
      </c>
      <c r="E8" s="6" t="n">
        <v>4</v>
      </c>
      <c r="F8" s="6" t="inlineStr">
        <is>
          <t>1332</t>
        </is>
      </c>
      <c r="G8" s="6" t="inlineStr">
        <is>
          <t>-</t>
        </is>
      </c>
      <c r="H8" s="6" t="inlineStr">
        <is>
          <t>Возможно поставлен по RFI 1332 (GM-12/2000) — привязку к 3120 сверить</t>
        </is>
      </c>
    </row>
    <row r="9">
      <c r="A9" s="11" t="inlineStr">
        <is>
          <t>3120 ЭС1</t>
        </is>
      </c>
      <c r="B9" s="6" t="inlineStr">
        <is>
          <t>—</t>
        </is>
      </c>
      <c r="C9" s="6" t="inlineStr">
        <is>
          <t>Токопровод 10 кВ закрытый 2000 А, 50 кА</t>
        </is>
      </c>
      <c r="D9" s="6" t="inlineStr">
        <is>
          <t>Jiangsu Shilin</t>
        </is>
      </c>
      <c r="E9" s="6" t="n">
        <v>2</v>
      </c>
      <c r="F9" s="6" t="inlineStr">
        <is>
          <t>1332, 1613</t>
        </is>
      </c>
      <c r="G9" s="6" t="inlineStr">
        <is>
          <t>-</t>
        </is>
      </c>
      <c r="H9" s="6" t="inlineStr">
        <is>
          <t>Возможно RFI 1332</t>
        </is>
      </c>
    </row>
    <row r="10" ht="26.4" customHeight="1" s="19">
      <c r="A10" s="11" t="inlineStr">
        <is>
          <t>3120 ЭС1</t>
        </is>
      </c>
      <c r="B10" s="6" t="inlineStr">
        <is>
          <t>—</t>
        </is>
      </c>
      <c r="C10" s="6" t="inlineStr">
        <is>
          <t>Токопровод 10 кВ закрытый 100 А, 50 кА, с ОПН 10 кВ</t>
        </is>
      </c>
      <c r="D10" s="6" t="inlineStr">
        <is>
          <t>Jiangsu Shilin</t>
        </is>
      </c>
      <c r="E10" s="6" t="n">
        <v>2</v>
      </c>
      <c r="F10" s="6" t="inlineStr">
        <is>
          <t>1332, 1613</t>
        </is>
      </c>
      <c r="G10" s="6" t="inlineStr">
        <is>
          <t>-</t>
        </is>
      </c>
      <c r="H10" s="6" t="n"/>
    </row>
    <row r="11" ht="26.4" customHeight="1" s="19">
      <c r="A11" s="11" t="inlineStr">
        <is>
          <t>3120 ЭС1</t>
        </is>
      </c>
      <c r="B11" s="6" t="inlineStr">
        <is>
          <t>—</t>
        </is>
      </c>
      <c r="C11" s="6" t="inlineStr">
        <is>
          <t>Шкаф управления системой охлаждения трансформатора, IP54</t>
        </is>
      </c>
      <c r="D11" s="6" t="inlineStr">
        <is>
          <t>ШУ-Д-2-380-16-4/2,5</t>
        </is>
      </c>
      <c r="E11" s="6" t="n">
        <v>2</v>
      </c>
      <c r="F11" s="6" t="inlineStr">
        <is>
          <t>-</t>
        </is>
      </c>
      <c r="G11" s="6" t="inlineStr">
        <is>
          <t>-</t>
        </is>
      </c>
      <c r="H11" s="6" t="inlineStr">
        <is>
          <t>Вероятно в комплекте ТРДН — проверить паспорт E19006-PO-061-TP-0001</t>
        </is>
      </c>
    </row>
    <row r="12">
      <c r="A12" s="11" t="inlineStr">
        <is>
          <t>3120 ЭС3</t>
        </is>
      </c>
      <c r="B12" s="6" t="inlineStr">
        <is>
          <t>1.4</t>
        </is>
      </c>
      <c r="C12" s="6" t="inlineStr">
        <is>
          <t>Стеллаж аккумуляторный двухъярусный</t>
        </is>
      </c>
      <c r="D12" s="6" t="inlineStr">
        <is>
          <t>ACM1-2 (ВОЛЬТАГ)</t>
        </is>
      </c>
      <c r="E12" s="6" t="n">
        <v>4</v>
      </c>
      <c r="F12" s="6" t="inlineStr">
        <is>
          <t>1403</t>
        </is>
      </c>
      <c r="G12" s="6" t="inlineStr">
        <is>
          <t>816-3120-ЭС3-ВК-ЧНД</t>
        </is>
      </c>
      <c r="H12" s="6" t="n"/>
    </row>
    <row r="13">
      <c r="A13" s="11" t="inlineStr">
        <is>
          <t>3120 ЭС3</t>
        </is>
      </c>
      <c r="B13" s="6" t="inlineStr">
        <is>
          <t>1.5 АБ1, АБ2</t>
        </is>
      </c>
      <c r="C13" s="6" t="inlineStr">
        <is>
          <t>АКБ свинцово-кислотная 490 Ач, 104 эл. по 2 В</t>
        </is>
      </c>
      <c r="D13" s="6" t="inlineStr">
        <is>
          <t>OPzS 490 (ВОЛЬТАГ)</t>
        </is>
      </c>
      <c r="E13" s="6" t="n">
        <v>2</v>
      </c>
      <c r="F13" s="6" t="inlineStr">
        <is>
          <t>1403</t>
        </is>
      </c>
      <c r="G13" s="6" t="inlineStr">
        <is>
          <t>816-3120-ЭС3-ВК-ЧНД</t>
        </is>
      </c>
      <c r="H13" s="6" t="inlineStr">
        <is>
          <t>Зав. № батарей не найдены</t>
        </is>
      </c>
    </row>
    <row r="14" ht="26.4" customHeight="1" s="19">
      <c r="A14" s="11" t="inlineStr">
        <is>
          <t>3120 ЭС3</t>
        </is>
      </c>
      <c r="B14" s="6" t="inlineStr">
        <is>
          <t>1.6 (03L1201)</t>
        </is>
      </c>
      <c r="C14" s="6" t="inlineStr">
        <is>
          <t>Кран мостовой однобалочный подвесной двухпролётный 10 т</t>
        </is>
      </c>
      <c r="D14" s="6" t="inlineStr">
        <is>
          <t>FHU10-15-9 A3</t>
        </is>
      </c>
      <c r="E14" s="6" t="n">
        <v>1</v>
      </c>
      <c r="F14" s="6" t="inlineStr">
        <is>
          <t>1292-1, 1292</t>
        </is>
      </c>
      <c r="G14" s="6" t="inlineStr">
        <is>
          <t>526-3121-КЭ-ЧНД</t>
        </is>
      </c>
      <c r="H14" s="6" t="inlineStr">
        <is>
          <t>В RFI/АоРПИ только индекс крана и тег 03L1201, зав. № нет</t>
        </is>
      </c>
    </row>
    <row r="15">
      <c r="A15" s="11" t="inlineStr">
        <is>
          <t>3120 ЭС3</t>
        </is>
      </c>
      <c r="B15" s="6" t="inlineStr">
        <is>
          <t>1.7</t>
        </is>
      </c>
      <c r="C15" s="6" t="inlineStr">
        <is>
          <t>Шкаф управления краном 400 В, 600х900х220</t>
        </is>
      </c>
      <c r="D15" s="6" t="inlineStr">
        <is>
          <t>FEC22058-06</t>
        </is>
      </c>
      <c r="E15" s="6" t="n">
        <v>1</v>
      </c>
      <c r="F15" s="6" t="inlineStr">
        <is>
          <t>1292-1, 1292</t>
        </is>
      </c>
      <c r="G15" s="6" t="inlineStr">
        <is>
          <t>526-3121-КЭ-ЧНД</t>
        </is>
      </c>
      <c r="H15" s="6" t="n"/>
    </row>
    <row r="16" ht="26.4" customHeight="1" s="19">
      <c r="A16" s="11" t="inlineStr">
        <is>
          <t>3120 ЭС3</t>
        </is>
      </c>
      <c r="B16" s="6" t="inlineStr">
        <is>
          <t>1.8 DCW1.1N, DCW1.2N</t>
        </is>
      </c>
      <c r="C16" s="6" t="inlineStr">
        <is>
          <t>Ящик с рубильником и штепсельным разъёмом, IP54</t>
        </is>
      </c>
      <c r="D16" s="6" t="inlineStr">
        <is>
          <t>ЯВЗШ-31-100 УХЛ1</t>
        </is>
      </c>
      <c r="E16" s="6" t="n">
        <v>2</v>
      </c>
      <c r="F16" s="6" t="inlineStr">
        <is>
          <t>1541</t>
        </is>
      </c>
      <c r="G16" s="6" t="inlineStr">
        <is>
          <t>-</t>
        </is>
      </c>
      <c r="H16" s="6" t="n"/>
    </row>
    <row r="17" ht="26.4" customHeight="1" s="19">
      <c r="A17" s="11" t="inlineStr">
        <is>
          <t>3120 ЭС3</t>
        </is>
      </c>
      <c r="B17" s="6" t="inlineStr">
        <is>
          <t>1.9 DCW2.1N…DCW3.2N</t>
        </is>
      </c>
      <c r="C17" s="6" t="inlineStr">
        <is>
          <t>Ящик с рубильником и штепсельным разъёмом, IP31</t>
        </is>
      </c>
      <c r="D17" s="6" t="inlineStr">
        <is>
          <t>ЯВЗШ-31-100 УХЛ4</t>
        </is>
      </c>
      <c r="E17" s="6" t="n">
        <v>6</v>
      </c>
      <c r="F17" s="6" t="inlineStr">
        <is>
          <t>1541</t>
        </is>
      </c>
      <c r="G17" s="6" t="inlineStr">
        <is>
          <t>-</t>
        </is>
      </c>
      <c r="H17" s="6" t="n"/>
    </row>
    <row r="18">
      <c r="A18" s="11" t="inlineStr">
        <is>
          <t>3120 ЭС3</t>
        </is>
      </c>
      <c r="B18" s="6" t="inlineStr">
        <is>
          <t>1.10 DC2.1-2.2N</t>
        </is>
      </c>
      <c r="C18" s="6" t="inlineStr">
        <is>
          <t>Вторичная силовая сборка DC2.1-2.2N</t>
        </is>
      </c>
      <c r="D18" s="6" t="n"/>
      <c r="E18" s="6" t="n">
        <v>1</v>
      </c>
      <c r="F18" s="6" t="inlineStr">
        <is>
          <t>1671</t>
        </is>
      </c>
      <c r="G18" s="6" t="inlineStr">
        <is>
          <t>-</t>
        </is>
      </c>
      <c r="H18" s="6" t="n"/>
    </row>
    <row r="19">
      <c r="A19" s="11" t="inlineStr">
        <is>
          <t>3120 ЭС3</t>
        </is>
      </c>
      <c r="B19" s="6" t="inlineStr">
        <is>
          <t>1.11 DC2.3N</t>
        </is>
      </c>
      <c r="C19" s="6" t="inlineStr">
        <is>
          <t>Вторичная силовая сборка DC2.3N</t>
        </is>
      </c>
      <c r="D19" s="6" t="n"/>
      <c r="E19" s="6" t="n">
        <v>1</v>
      </c>
      <c r="F19" s="6" t="inlineStr">
        <is>
          <t>1671</t>
        </is>
      </c>
      <c r="G19" s="6" t="inlineStr">
        <is>
          <t>-</t>
        </is>
      </c>
      <c r="H19" s="6" t="n"/>
    </row>
    <row r="20">
      <c r="A20" s="11" t="inlineStr">
        <is>
          <t>3120 ЭС3</t>
        </is>
      </c>
      <c r="B20" s="6" t="inlineStr">
        <is>
          <t>1.12 DC2.5N</t>
        </is>
      </c>
      <c r="C20" s="6" t="inlineStr">
        <is>
          <t>Вторичная силовая сборка отопления DC2.5N</t>
        </is>
      </c>
      <c r="D20" s="6" t="n"/>
      <c r="E20" s="6" t="n">
        <v>1</v>
      </c>
      <c r="F20" s="6" t="inlineStr">
        <is>
          <t>1671</t>
        </is>
      </c>
      <c r="G20" s="6" t="inlineStr">
        <is>
          <t>-</t>
        </is>
      </c>
      <c r="H20" s="6" t="n"/>
    </row>
    <row r="21">
      <c r="A21" s="11" t="inlineStr">
        <is>
          <t>3120 ЭС3</t>
        </is>
      </c>
      <c r="B21" s="6" t="inlineStr">
        <is>
          <t>1.13 DC2.6N</t>
        </is>
      </c>
      <c r="C21" s="6" t="inlineStr">
        <is>
          <t>Вторичная силовая сборка отопления DC2.6N</t>
        </is>
      </c>
      <c r="D21" s="6" t="n"/>
      <c r="E21" s="6" t="n">
        <v>1</v>
      </c>
      <c r="F21" s="6" t="inlineStr">
        <is>
          <t>1671</t>
        </is>
      </c>
      <c r="G21" s="6" t="inlineStr">
        <is>
          <t>-</t>
        </is>
      </c>
      <c r="H21" s="6" t="n"/>
    </row>
    <row r="22" ht="26.4" customHeight="1" s="19">
      <c r="A22" s="11" t="inlineStr">
        <is>
          <t>3120 ЭС3</t>
        </is>
      </c>
      <c r="B22" s="6" t="inlineStr">
        <is>
          <t>1.14 DC2.7N</t>
        </is>
      </c>
      <c r="C22" s="6" t="inlineStr">
        <is>
          <t>Вторичная силовая сборка кондиционирования DC2.7N</t>
        </is>
      </c>
      <c r="D22" s="6" t="n"/>
      <c r="E22" s="6" t="n">
        <v>1</v>
      </c>
      <c r="F22" s="6" t="inlineStr">
        <is>
          <t>1671</t>
        </is>
      </c>
      <c r="G22" s="6" t="inlineStr">
        <is>
          <t>-</t>
        </is>
      </c>
      <c r="H22" s="6" t="n"/>
    </row>
    <row r="23">
      <c r="A23" s="11" t="inlineStr">
        <is>
          <t>3120 ЭС3</t>
        </is>
      </c>
      <c r="B23" s="6" t="inlineStr">
        <is>
          <t>1.15 DC2.8N</t>
        </is>
      </c>
      <c r="C23" s="6" t="inlineStr">
        <is>
          <t>Вторичная силовая сборка вентиляции DC2.8N</t>
        </is>
      </c>
      <c r="D23" s="6" t="n"/>
      <c r="E23" s="6" t="n">
        <v>1</v>
      </c>
      <c r="F23" s="6" t="inlineStr">
        <is>
          <t>1671</t>
        </is>
      </c>
      <c r="G23" s="6" t="inlineStr">
        <is>
          <t>-</t>
        </is>
      </c>
      <c r="H23" s="6" t="n"/>
    </row>
    <row r="24">
      <c r="A24" s="11" t="inlineStr">
        <is>
          <t>3120 ЭС3</t>
        </is>
      </c>
      <c r="B24" s="6" t="inlineStr">
        <is>
          <t>1.16 DC2.9N</t>
        </is>
      </c>
      <c r="C24" s="6" t="inlineStr">
        <is>
          <t>Вторичная силовая сборка вентиляции DC2.9N</t>
        </is>
      </c>
      <c r="D24" s="6" t="n"/>
      <c r="E24" s="6" t="n">
        <v>1</v>
      </c>
      <c r="F24" s="6" t="inlineStr">
        <is>
          <t>1671</t>
        </is>
      </c>
      <c r="G24" s="6" t="inlineStr">
        <is>
          <t>-</t>
        </is>
      </c>
      <c r="H24" s="6" t="n"/>
    </row>
    <row r="25">
      <c r="A25" s="11" t="inlineStr">
        <is>
          <t>3120 ЭС3</t>
        </is>
      </c>
      <c r="B25" s="6" t="inlineStr">
        <is>
          <t>1.17 DC2.10N</t>
        </is>
      </c>
      <c r="C25" s="6" t="inlineStr">
        <is>
          <t>Вторичная силовая сборка вентиляции DC2.10N</t>
        </is>
      </c>
      <c r="D25" s="6" t="n"/>
      <c r="E25" s="6" t="n">
        <v>1</v>
      </c>
      <c r="F25" s="6" t="inlineStr">
        <is>
          <t>1671</t>
        </is>
      </c>
      <c r="G25" s="6" t="inlineStr">
        <is>
          <t>-</t>
        </is>
      </c>
      <c r="H25" s="6" t="n"/>
    </row>
    <row r="26">
      <c r="A26" s="11" t="inlineStr">
        <is>
          <t>3120 ЭС3</t>
        </is>
      </c>
      <c r="B26" s="6" t="inlineStr">
        <is>
          <t>1.18 DC2.11N</t>
        </is>
      </c>
      <c r="C26" s="6" t="inlineStr">
        <is>
          <t>Вторичная силовая сборка вентиляции DC2.11N</t>
        </is>
      </c>
      <c r="D26" s="6" t="n"/>
      <c r="E26" s="6" t="n">
        <v>1</v>
      </c>
      <c r="F26" s="6" t="inlineStr">
        <is>
          <t>1671</t>
        </is>
      </c>
      <c r="G26" s="6" t="inlineStr">
        <is>
          <t>-</t>
        </is>
      </c>
      <c r="H26" s="6" t="n"/>
    </row>
    <row r="27">
      <c r="A27" s="11" t="inlineStr">
        <is>
          <t>3120 ЭС3</t>
        </is>
      </c>
      <c r="B27" s="6" t="inlineStr">
        <is>
          <t>1.19 DC2.12N</t>
        </is>
      </c>
      <c r="C27" s="6" t="inlineStr">
        <is>
          <t>Вторичная силовая сборка вентиляции DC2.12N</t>
        </is>
      </c>
      <c r="D27" s="6" t="n"/>
      <c r="E27" s="6" t="n">
        <v>1</v>
      </c>
      <c r="F27" s="6" t="inlineStr">
        <is>
          <t>1671</t>
        </is>
      </c>
      <c r="G27" s="6" t="inlineStr">
        <is>
          <t>-</t>
        </is>
      </c>
      <c r="H27" s="6" t="n"/>
    </row>
    <row r="28">
      <c r="A28" s="11" t="inlineStr">
        <is>
          <t>3120 ЭС3</t>
        </is>
      </c>
      <c r="B28" s="6" t="inlineStr">
        <is>
          <t>1.20 DC2.13N</t>
        </is>
      </c>
      <c r="C28" s="6" t="inlineStr">
        <is>
          <t>Вторичная силовая сборка вентиляции DC2.13N</t>
        </is>
      </c>
      <c r="D28" s="6" t="n"/>
      <c r="E28" s="6" t="n">
        <v>1</v>
      </c>
      <c r="F28" s="6" t="inlineStr">
        <is>
          <t>1671</t>
        </is>
      </c>
      <c r="G28" s="6" t="inlineStr">
        <is>
          <t>-</t>
        </is>
      </c>
      <c r="H28" s="6" t="n"/>
    </row>
    <row r="29" ht="26.4" customHeight="1" s="19">
      <c r="A29" s="11" t="inlineStr">
        <is>
          <t>3120 ЭС3</t>
        </is>
      </c>
      <c r="B29" s="6" t="inlineStr">
        <is>
          <t>1.21 DC3.1N</t>
        </is>
      </c>
      <c r="C29" s="6" t="inlineStr">
        <is>
          <t>Вторичная силовая сборка DC3.1N (устан. в ЗРУ-10 кВ тит. 3123)</t>
        </is>
      </c>
      <c r="D29" s="6" t="n"/>
      <c r="E29" s="6" t="n">
        <v>1</v>
      </c>
      <c r="F29" s="6" t="inlineStr">
        <is>
          <t>1671</t>
        </is>
      </c>
      <c r="G29" s="6" t="inlineStr">
        <is>
          <t>-</t>
        </is>
      </c>
      <c r="H29" s="6" t="n"/>
    </row>
    <row r="30">
      <c r="A30" s="11" t="inlineStr">
        <is>
          <t>3120 ЭС3</t>
        </is>
      </c>
      <c r="B30" s="6" t="inlineStr">
        <is>
          <t>1.22 DCM2.1N</t>
        </is>
      </c>
      <c r="C30" s="6" t="inlineStr">
        <is>
          <t>Панель противопожарных устройств (ППУ)</t>
        </is>
      </c>
      <c r="D30" s="6" t="n"/>
      <c r="E30" s="6" t="n">
        <v>1</v>
      </c>
      <c r="F30" s="6" t="inlineStr">
        <is>
          <t>1671</t>
        </is>
      </c>
      <c r="G30" s="6" t="inlineStr">
        <is>
          <t>-</t>
        </is>
      </c>
      <c r="H30" s="6" t="n"/>
    </row>
    <row r="31" ht="26.4" customHeight="1" s="19">
      <c r="A31" s="11" t="inlineStr">
        <is>
          <t>3120 ЭС3</t>
        </is>
      </c>
      <c r="B31" s="6" t="inlineStr">
        <is>
          <t>1.23 DCM3.1N</t>
        </is>
      </c>
      <c r="C31" s="6" t="inlineStr">
        <is>
          <t>Панель противопожарных устройств (ППУ), в ЗРУ-10 кВ тит. 3123</t>
        </is>
      </c>
      <c r="D31" s="6" t="n"/>
      <c r="E31" s="6" t="n">
        <v>1</v>
      </c>
      <c r="F31" s="6" t="inlineStr">
        <is>
          <t>1671</t>
        </is>
      </c>
      <c r="G31" s="6" t="inlineStr">
        <is>
          <t>-</t>
        </is>
      </c>
      <c r="H31" s="6" t="n"/>
    </row>
    <row r="32" ht="26.4" customHeight="1" s="19">
      <c r="A32" s="11" t="inlineStr">
        <is>
          <t>3120 ЭС4</t>
        </is>
      </c>
      <c r="B32" s="6" t="inlineStr">
        <is>
          <t>—</t>
        </is>
      </c>
      <c r="C32" s="6" t="inlineStr">
        <is>
          <t>Комплект ПО и оборудования для обмена с терминалами РЗА</t>
        </is>
      </c>
      <c r="D32" s="6" t="inlineStr">
        <is>
          <t>WINBRES, TRANSET, BRESUSB</t>
        </is>
      </c>
      <c r="E32" s="6" t="n">
        <v>2</v>
      </c>
      <c r="F32" s="6" t="inlineStr">
        <is>
          <t>-</t>
        </is>
      </c>
      <c r="G32" s="6" t="inlineStr">
        <is>
          <t>-</t>
        </is>
      </c>
      <c r="H32" s="6" t="n"/>
    </row>
    <row r="33">
      <c r="A33" s="11" t="inlineStr">
        <is>
          <t>3120 ЭС4</t>
        </is>
      </c>
      <c r="B33" s="6" t="inlineStr">
        <is>
          <t>—</t>
        </is>
      </c>
      <c r="C33" s="6" t="inlineStr">
        <is>
          <t>Ноутбук для обслуживания устройств РЗА</t>
        </is>
      </c>
      <c r="D33" s="6" t="n"/>
      <c r="E33" s="6" t="n">
        <v>1</v>
      </c>
      <c r="F33" s="6" t="inlineStr">
        <is>
          <t>-</t>
        </is>
      </c>
      <c r="G33" s="6" t="inlineStr">
        <is>
          <t>-</t>
        </is>
      </c>
      <c r="H33" s="6" t="n"/>
    </row>
    <row r="34">
      <c r="A34" s="11" t="inlineStr">
        <is>
          <t>3120 ЭС4</t>
        </is>
      </c>
      <c r="B34" s="6" t="inlineStr">
        <is>
          <t>—</t>
        </is>
      </c>
      <c r="C34" s="6" t="inlineStr">
        <is>
          <t>Инструмент для монтажа и наладки ПТС РЗА</t>
        </is>
      </c>
      <c r="D34" s="6" t="inlineStr">
        <is>
          <t>Бреслер</t>
        </is>
      </c>
      <c r="E34" s="6" t="n">
        <v>1</v>
      </c>
      <c r="F34" s="6" t="inlineStr">
        <is>
          <t>-</t>
        </is>
      </c>
      <c r="G34" s="6" t="inlineStr">
        <is>
          <t>-</t>
        </is>
      </c>
      <c r="H34" s="6" t="n"/>
    </row>
    <row r="35" ht="26.4" customHeight="1" s="19">
      <c r="A35" s="11" t="inlineStr">
        <is>
          <t>3120 ЭС5</t>
        </is>
      </c>
      <c r="B35" s="6" t="inlineStr">
        <is>
          <t>ШЗВ</t>
        </is>
      </c>
      <c r="C35" s="6" t="inlineStr">
        <is>
          <t>Шкаф промежуточных зажимов, 30 зажимов</t>
        </is>
      </c>
      <c r="D35" s="6" t="inlineStr">
        <is>
          <t>ШЗВ-30</t>
        </is>
      </c>
      <c r="E35" s="6" t="n">
        <v>1</v>
      </c>
      <c r="F35" s="6" t="inlineStr">
        <is>
          <t>1671</t>
        </is>
      </c>
      <c r="G35" s="6" t="inlineStr">
        <is>
          <t>-</t>
        </is>
      </c>
      <c r="H35" s="6" t="inlineStr">
        <is>
          <t>В папке АоРПИ 742-3120-ЭС5 лежит копия акта 961 (ЭС4) — акта на ЭС5 фактически нет</t>
        </is>
      </c>
    </row>
    <row r="36">
      <c r="A36" s="11" t="inlineStr">
        <is>
          <t>3120 ЭС5</t>
        </is>
      </c>
      <c r="B36" s="6" t="inlineStr">
        <is>
          <t>ШПС</t>
        </is>
      </c>
      <c r="C36" s="6" t="inlineStr">
        <is>
          <t>Шкаф повторителей сигнала</t>
        </is>
      </c>
      <c r="D36" s="6" t="inlineStr">
        <is>
          <t>ШПС</t>
        </is>
      </c>
      <c r="E36" s="6" t="n">
        <v>1</v>
      </c>
      <c r="F36" s="6" t="inlineStr">
        <is>
          <t>1671</t>
        </is>
      </c>
      <c r="G36" s="6" t="inlineStr">
        <is>
          <t>-</t>
        </is>
      </c>
      <c r="H36" s="6" t="n"/>
    </row>
    <row r="37">
      <c r="A37" s="11" t="inlineStr">
        <is>
          <t>3120 АСУЭ</t>
        </is>
      </c>
      <c r="B37" s="6" t="inlineStr">
        <is>
          <t>АРМ 4051</t>
        </is>
      </c>
      <c r="C37" s="6" t="inlineStr">
        <is>
          <t>Монитор Delta Computers 27"</t>
        </is>
      </c>
      <c r="D37" s="6" t="inlineStr">
        <is>
          <t>М2701/2КР/LCD</t>
        </is>
      </c>
      <c r="E37" s="6" t="n">
        <v>6</v>
      </c>
      <c r="F37" s="6" t="inlineStr">
        <is>
          <t>1556(1)</t>
        </is>
      </c>
      <c r="G37" s="6" t="inlineStr">
        <is>
          <t>-</t>
        </is>
      </c>
      <c r="H37" s="6" t="n"/>
    </row>
    <row r="38">
      <c r="A38" s="11" t="inlineStr">
        <is>
          <t>3120 АСУЭ</t>
        </is>
      </c>
      <c r="B38" s="6" t="inlineStr">
        <is>
          <t>АРМ 4051</t>
        </is>
      </c>
      <c r="C38" s="6" t="inlineStr">
        <is>
          <t>Принтер HP Color LaserJet CP5225dn</t>
        </is>
      </c>
      <c r="D38" s="6" t="inlineStr">
        <is>
          <t>CE712A</t>
        </is>
      </c>
      <c r="E38" s="6" t="n">
        <v>1</v>
      </c>
      <c r="F38" s="6" t="inlineStr">
        <is>
          <t>1556(1)</t>
        </is>
      </c>
      <c r="G38" s="6" t="inlineStr">
        <is>
          <t>-</t>
        </is>
      </c>
      <c r="H38" s="6" t="n"/>
    </row>
    <row r="39">
      <c r="A39" s="11" t="inlineStr">
        <is>
          <t>3120 АСУЭ</t>
        </is>
      </c>
      <c r="B39" s="6" t="inlineStr">
        <is>
          <t>АРМ 4051</t>
        </is>
      </c>
      <c r="C39" s="6" t="inlineStr">
        <is>
          <t>МФУ HP LaserJet Pro 4103dw</t>
        </is>
      </c>
      <c r="D39" s="6" t="inlineStr">
        <is>
          <t>2Z627A</t>
        </is>
      </c>
      <c r="E39" s="6" t="n">
        <v>1</v>
      </c>
      <c r="F39" s="6" t="inlineStr">
        <is>
          <t>1556(1)</t>
        </is>
      </c>
      <c r="G39" s="6" t="inlineStr">
        <is>
          <t>-</t>
        </is>
      </c>
      <c r="H39" s="6" t="n"/>
    </row>
    <row r="40" ht="26.4" customHeight="1" s="19">
      <c r="A40" s="11" t="inlineStr">
        <is>
          <t>3120 АСУЭ</t>
        </is>
      </c>
      <c r="B40" s="6" t="inlineStr">
        <is>
          <t>АРМ СМиУКЭ/РЗА/АСУЭ</t>
        </is>
      </c>
      <c r="C40" s="6" t="inlineStr">
        <is>
          <t>Ноутбук Acer Aspire 5 A515-57</t>
        </is>
      </c>
      <c r="D40" s="6" t="inlineStr">
        <is>
          <t>A515-57-506D</t>
        </is>
      </c>
      <c r="E40" s="6" t="n">
        <v>3</v>
      </c>
      <c r="F40" s="6" t="inlineStr">
        <is>
          <t>1556(1)</t>
        </is>
      </c>
      <c r="G40" s="6" t="inlineStr">
        <is>
          <t>-</t>
        </is>
      </c>
      <c r="H40" s="6" t="n"/>
    </row>
    <row r="41">
      <c r="A41" s="11" t="inlineStr">
        <is>
          <t>3120 АСУЭ</t>
        </is>
      </c>
      <c r="B41" s="6" t="inlineStr">
        <is>
          <t>—</t>
        </is>
      </c>
      <c r="C41" s="6" t="inlineStr">
        <is>
          <t>Антенна ГЛОНАСС/GPS</t>
        </is>
      </c>
      <c r="D41" s="6" t="inlineStr">
        <is>
          <t>GPS-P.50MP</t>
        </is>
      </c>
      <c r="E41" s="6" t="n">
        <v>3</v>
      </c>
      <c r="F41" s="6" t="inlineStr">
        <is>
          <t>1556(1)</t>
        </is>
      </c>
      <c r="G41" s="6" t="inlineStr">
        <is>
          <t>-</t>
        </is>
      </c>
      <c r="H41" s="6" t="n"/>
    </row>
    <row r="42" ht="26.4" customHeight="1" s="19">
      <c r="A42" s="11" t="inlineStr">
        <is>
          <t>3120 АСУЭ</t>
        </is>
      </c>
      <c r="B42" s="6" t="inlineStr">
        <is>
          <t>—</t>
        </is>
      </c>
      <c r="C42" s="6" t="inlineStr">
        <is>
          <t>Метеостанция</t>
        </is>
      </c>
      <c r="D42" s="6" t="inlineStr">
        <is>
          <t>IMETEOLABS PWS-600R</t>
        </is>
      </c>
      <c r="E42" s="6" t="n">
        <v>1</v>
      </c>
      <c r="F42" s="6" t="inlineStr">
        <is>
          <t>1556(2), 1556(1)</t>
        </is>
      </c>
      <c r="G42" s="6" t="inlineStr">
        <is>
          <t>-</t>
        </is>
      </c>
      <c r="H42" s="6" t="inlineStr">
        <is>
          <t>Поставлена в ЗИП RFI 1556(2), зав. № не указан</t>
        </is>
      </c>
    </row>
    <row r="43">
      <c r="A43" s="11" t="inlineStr">
        <is>
          <t>3120 АСУЭ</t>
        </is>
      </c>
      <c r="B43" s="6" t="inlineStr">
        <is>
          <t>АРМ 4051</t>
        </is>
      </c>
      <c r="C43" s="6" t="inlineStr">
        <is>
          <t>Клавиатура и мышь</t>
        </is>
      </c>
      <c r="D43" s="6" t="n"/>
      <c r="E43" s="6" t="n">
        <v>4</v>
      </c>
      <c r="F43" s="6" t="inlineStr">
        <is>
          <t>1556(1)</t>
        </is>
      </c>
      <c r="G43" s="6" t="inlineStr">
        <is>
          <t>-</t>
        </is>
      </c>
      <c r="H43" s="6" t="n"/>
    </row>
    <row r="44">
      <c r="A44" s="11" t="inlineStr">
        <is>
          <t>3120 АСУЭ</t>
        </is>
      </c>
      <c r="B44" s="6" t="inlineStr">
        <is>
          <t>АРМ 4051</t>
        </is>
      </c>
      <c r="C44" s="6" t="inlineStr">
        <is>
          <t>Сетевой удлинитель</t>
        </is>
      </c>
      <c r="D44" s="6" t="n"/>
      <c r="E44" s="6" t="n">
        <v>4</v>
      </c>
      <c r="F44" s="6" t="inlineStr">
        <is>
          <t>1556(1)</t>
        </is>
      </c>
      <c r="G44" s="6" t="inlineStr">
        <is>
          <t>-</t>
        </is>
      </c>
      <c r="H44" s="6" t="n"/>
    </row>
    <row r="45" ht="26.4" customHeight="1" s="19">
      <c r="A45" s="11" t="inlineStr">
        <is>
          <t>3120 АСУЭ</t>
        </is>
      </c>
      <c r="B45" s="6" t="inlineStr">
        <is>
          <t>АРМ СМиУКЭ/РЗА/АСУЭ</t>
        </is>
      </c>
      <c r="C45" s="6" t="inlineStr">
        <is>
          <t>ОС Astra Linux 1.8</t>
        </is>
      </c>
      <c r="D45" s="6" t="inlineStr">
        <is>
          <t>РусБИТех-Астра</t>
        </is>
      </c>
      <c r="E45" s="6" t="n">
        <v>3</v>
      </c>
      <c r="F45" s="6" t="inlineStr">
        <is>
          <t>1556(1)</t>
        </is>
      </c>
      <c r="G45" s="6" t="inlineStr">
        <is>
          <t>-</t>
        </is>
      </c>
      <c r="H45" s="6" t="n"/>
    </row>
    <row r="46">
      <c r="A46" s="11" t="inlineStr">
        <is>
          <t>3120 АСУЭ</t>
        </is>
      </c>
      <c r="B46" s="6" t="inlineStr">
        <is>
          <t>АРМ</t>
        </is>
      </c>
      <c r="C46" s="6" t="inlineStr">
        <is>
          <t>Кабель DB9–USB</t>
        </is>
      </c>
      <c r="D46" s="6" t="inlineStr">
        <is>
          <t>UGREEN CR104</t>
        </is>
      </c>
      <c r="E46" s="6" t="n">
        <v>3</v>
      </c>
      <c r="F46" s="6" t="inlineStr">
        <is>
          <t>1556(1)</t>
        </is>
      </c>
      <c r="G46" s="6" t="inlineStr">
        <is>
          <t>-</t>
        </is>
      </c>
      <c r="H46" s="6" t="n"/>
    </row>
    <row r="47">
      <c r="A47" s="11" t="inlineStr">
        <is>
          <t>3120 АСУЭ</t>
        </is>
      </c>
      <c r="B47" s="6" t="inlineStr">
        <is>
          <t>АРМ</t>
        </is>
      </c>
      <c r="C47" s="6" t="inlineStr">
        <is>
          <t>Мышь беспроводная</t>
        </is>
      </c>
      <c r="D47" s="6" t="inlineStr">
        <is>
          <t>A4TECH Fstyler FG10S</t>
        </is>
      </c>
      <c r="E47" s="6" t="n">
        <v>3</v>
      </c>
      <c r="F47" s="6" t="inlineStr">
        <is>
          <t>1556(1)</t>
        </is>
      </c>
      <c r="G47" s="6" t="inlineStr">
        <is>
          <t>-</t>
        </is>
      </c>
      <c r="H47" s="6" t="n"/>
    </row>
    <row r="48">
      <c r="A48" s="11" t="inlineStr">
        <is>
          <t>3120 АСУЭ</t>
        </is>
      </c>
      <c r="B48" s="6" t="inlineStr">
        <is>
          <t>АРМ</t>
        </is>
      </c>
      <c r="C48" s="6" t="inlineStr">
        <is>
          <t>Сумка для ноутбука 17,3"</t>
        </is>
      </c>
      <c r="D48" s="6" t="inlineStr">
        <is>
          <t>Continent CC-018</t>
        </is>
      </c>
      <c r="E48" s="6" t="n">
        <v>3</v>
      </c>
      <c r="F48" s="6" t="inlineStr">
        <is>
          <t>1556(1)</t>
        </is>
      </c>
      <c r="G48" s="6" t="inlineStr">
        <is>
          <t>-</t>
        </is>
      </c>
      <c r="H48" s="6" t="n"/>
    </row>
    <row r="49">
      <c r="A49" s="11" t="inlineStr">
        <is>
          <t>3120 АСУЭ</t>
        </is>
      </c>
      <c r="B49" s="6" t="inlineStr">
        <is>
          <t>—</t>
        </is>
      </c>
      <c r="C49" s="6" t="inlineStr">
        <is>
          <t>Кронштейн для антенны ГЛОНАСС/GPS 500 мм</t>
        </is>
      </c>
      <c r="D49" s="6" t="inlineStr">
        <is>
          <t>GPS-КР-500</t>
        </is>
      </c>
      <c r="E49" s="6" t="n">
        <v>3</v>
      </c>
      <c r="F49" s="6" t="inlineStr">
        <is>
          <t>1556(1)</t>
        </is>
      </c>
      <c r="G49" s="6" t="inlineStr">
        <is>
          <t>-</t>
        </is>
      </c>
      <c r="H49" s="6" t="n"/>
    </row>
    <row r="50">
      <c r="A50" s="11" t="inlineStr">
        <is>
          <t>3120 АСУЭ</t>
        </is>
      </c>
      <c r="B50" s="6" t="inlineStr">
        <is>
          <t>—</t>
        </is>
      </c>
      <c r="C50" s="6" t="inlineStr">
        <is>
          <t>Датчик температуры Pt100, RS-485</t>
        </is>
      </c>
      <c r="D50" s="6" t="inlineStr">
        <is>
          <t>ДТС125М-PT100.1,0.60.RS</t>
        </is>
      </c>
      <c r="E50" s="6" t="n">
        <v>9</v>
      </c>
      <c r="F50" s="6" t="inlineStr">
        <is>
          <t>1556(1)</t>
        </is>
      </c>
      <c r="G50" s="6" t="inlineStr">
        <is>
          <t>-</t>
        </is>
      </c>
      <c r="H50" s="6" t="n"/>
    </row>
    <row r="51" ht="26.4" customHeight="1" s="19">
      <c r="A51" s="11" t="inlineStr">
        <is>
          <t>3120 АСУЭ</t>
        </is>
      </c>
      <c r="B51" s="6" t="inlineStr">
        <is>
          <t>—</t>
        </is>
      </c>
      <c r="C51" s="6" t="inlineStr">
        <is>
          <t>Многофункциональный измерительный преобразователь, 2x100Base FX</t>
        </is>
      </c>
      <c r="D51" s="6" t="inlineStr">
        <is>
          <t>ЭНИП-2</t>
        </is>
      </c>
      <c r="E51" s="6" t="n">
        <v>12</v>
      </c>
      <c r="F51" s="6" t="inlineStr">
        <is>
          <t>1556(1)</t>
        </is>
      </c>
      <c r="G51" s="6" t="inlineStr">
        <is>
          <t>-</t>
        </is>
      </c>
      <c r="H51" s="6" t="n"/>
    </row>
    <row r="52">
      <c r="A52" s="11" t="inlineStr">
        <is>
          <t>3120 АСУЭ</t>
        </is>
      </c>
      <c r="B52" s="6" t="inlineStr">
        <is>
          <t>—</t>
        </is>
      </c>
      <c r="C52" s="6" t="inlineStr">
        <is>
          <t>Модуль дискретного ввода-вывода</t>
        </is>
      </c>
      <c r="D52" s="6" t="n"/>
      <c r="E52" s="6" t="n">
        <v>12</v>
      </c>
      <c r="F52" s="6" t="inlineStr">
        <is>
          <t>1556(1)</t>
        </is>
      </c>
      <c r="G52" s="6" t="inlineStr">
        <is>
          <t>-</t>
        </is>
      </c>
      <c r="H52" s="6" t="n"/>
    </row>
    <row r="53">
      <c r="A53" s="11" t="inlineStr">
        <is>
          <t>3120 АСУЭ</t>
        </is>
      </c>
      <c r="B53" s="6" t="inlineStr">
        <is>
          <t>2.17</t>
        </is>
      </c>
      <c r="C53" s="6" t="inlineStr">
        <is>
          <t>Мачта антенная Ø50 мм</t>
        </is>
      </c>
      <c r="D53" s="6" t="inlineStr">
        <is>
          <t>МА50</t>
        </is>
      </c>
      <c r="E53" s="6" t="n">
        <v>1</v>
      </c>
      <c r="F53" s="6" t="inlineStr">
        <is>
          <t>1700</t>
        </is>
      </c>
      <c r="G53" s="6" t="inlineStr">
        <is>
          <t>817-3120-АСУЭ-ВК-ЧНД</t>
        </is>
      </c>
      <c r="H53" s="6" t="n"/>
    </row>
    <row r="54" ht="26.4" customHeight="1" s="19">
      <c r="A54" s="11" t="inlineStr">
        <is>
          <t>3120 АСУЭ</t>
        </is>
      </c>
      <c r="B54" s="6" t="inlineStr">
        <is>
          <t>2.18</t>
        </is>
      </c>
      <c r="C54" s="6" t="inlineStr">
        <is>
          <t>Кронштейн-тренога для настенного крепления мачты</t>
        </is>
      </c>
      <c r="D54" s="6" t="inlineStr">
        <is>
          <t>МА41</t>
        </is>
      </c>
      <c r="E54" s="6" t="n">
        <v>1</v>
      </c>
      <c r="F54" s="6" t="inlineStr">
        <is>
          <t>1700</t>
        </is>
      </c>
      <c r="G54" s="6" t="inlineStr">
        <is>
          <t>817-3120-АСУЭ-ВК-ЧНД</t>
        </is>
      </c>
      <c r="H54" s="6" t="n"/>
    </row>
    <row r="55" ht="26.4" customHeight="1" s="19">
      <c r="A55" s="11" t="inlineStr">
        <is>
          <t>3120 АИИСКУЭ</t>
        </is>
      </c>
      <c r="B55" s="6" t="inlineStr">
        <is>
          <t>PIK4–PIK7</t>
        </is>
      </c>
      <c r="C55" s="6" t="inlineStr">
        <is>
          <t>Счётчик электроэнергии 0,5S/1, 1/10 А, 2xRS485</t>
        </is>
      </c>
      <c r="D55" s="6" t="inlineStr">
        <is>
          <t>СТЭМ-300.263SU (СИ-АРТ)</t>
        </is>
      </c>
      <c r="E55" s="6" t="n">
        <v>4</v>
      </c>
      <c r="F55" s="6" t="inlineStr">
        <is>
          <t>1556(1)</t>
        </is>
      </c>
      <c r="G55" s="6" t="inlineStr">
        <is>
          <t>-</t>
        </is>
      </c>
      <c r="H55" s="6" t="inlineStr">
        <is>
          <t>Зав. № счётчиков не найдены. В СО 4А (.doc, 10.2025) было СТЭМ-300.255SU — по 4B марка изменена</t>
        </is>
      </c>
    </row>
    <row r="56" ht="26.4" customHeight="1" s="19">
      <c r="A56" s="11" t="inlineStr">
        <is>
          <t>3120 АИИСКУЭ</t>
        </is>
      </c>
      <c r="B56" s="6" t="inlineStr">
        <is>
          <t>PIK8, PIK9</t>
        </is>
      </c>
      <c r="C56" s="6" t="inlineStr">
        <is>
          <t>Счётчик электроэнергии 0,5S/1, 5/10 А, 2xRS485</t>
        </is>
      </c>
      <c r="D56" s="6" t="inlineStr">
        <is>
          <t>СТЭМ-300.153SU (СИ-АРТ)</t>
        </is>
      </c>
      <c r="E56" s="6" t="n">
        <v>2</v>
      </c>
      <c r="F56" s="6" t="inlineStr">
        <is>
          <t>1556(1)</t>
        </is>
      </c>
      <c r="G56" s="6" t="inlineStr">
        <is>
          <t>-</t>
        </is>
      </c>
      <c r="H56" s="6" t="inlineStr">
        <is>
          <t>В СО 4А было СТЭМ-300.155SU — по 4B марка изменена</t>
        </is>
      </c>
    </row>
    <row r="57" ht="26.4" customHeight="1" s="19">
      <c r="A57" s="11" t="inlineStr">
        <is>
          <t>3120 АИИСКУЭ</t>
        </is>
      </c>
      <c r="B57" s="6" t="inlineStr">
        <is>
          <t>АРМ оператора</t>
        </is>
      </c>
      <c r="C57" s="6" t="inlineStr">
        <is>
          <t>Компьютер iRU Home 310H6SE</t>
        </is>
      </c>
      <c r="D57" s="6" t="inlineStr">
        <is>
          <t>iRU</t>
        </is>
      </c>
      <c r="E57" s="6" t="n">
        <v>1</v>
      </c>
      <c r="F57" s="6" t="inlineStr">
        <is>
          <t>1556(1)</t>
        </is>
      </c>
      <c r="G57" s="6" t="inlineStr">
        <is>
          <t>-</t>
        </is>
      </c>
      <c r="H57" s="6" t="n"/>
    </row>
    <row r="58" ht="26.4" customHeight="1" s="19">
      <c r="A58" s="11" t="inlineStr">
        <is>
          <t>3120 АИИСКУЭ</t>
        </is>
      </c>
      <c r="B58" s="6" t="inlineStr">
        <is>
          <t>АРМ оператора</t>
        </is>
      </c>
      <c r="C58" s="6" t="inlineStr">
        <is>
          <t>Монитор 23,8" ASUS VA24DQFR</t>
        </is>
      </c>
      <c r="D58" s="6" t="inlineStr">
        <is>
          <t>ASUS</t>
        </is>
      </c>
      <c r="E58" s="6" t="n">
        <v>2</v>
      </c>
      <c r="F58" s="6" t="inlineStr">
        <is>
          <t>1556(1)</t>
        </is>
      </c>
      <c r="G58" s="6" t="inlineStr">
        <is>
          <t>-</t>
        </is>
      </c>
      <c r="H58" s="6" t="n"/>
    </row>
    <row r="59" ht="26.4" customHeight="1" s="19">
      <c r="A59" s="11" t="inlineStr">
        <is>
          <t>3120 АИИСКУЭ</t>
        </is>
      </c>
      <c r="B59" s="6" t="inlineStr">
        <is>
          <t>АРМ оператора</t>
        </is>
      </c>
      <c r="C59" s="6" t="inlineStr">
        <is>
          <t>ИБП Ippon Smart Power Pro II 1200</t>
        </is>
      </c>
      <c r="D59" s="6" t="inlineStr">
        <is>
          <t>IPPON</t>
        </is>
      </c>
      <c r="E59" s="6" t="n">
        <v>1</v>
      </c>
      <c r="F59" s="6" t="inlineStr">
        <is>
          <t>1556(1)</t>
        </is>
      </c>
      <c r="G59" s="6" t="inlineStr">
        <is>
          <t>-</t>
        </is>
      </c>
      <c r="H59" s="6" t="n"/>
    </row>
    <row r="60" ht="26.4" customHeight="1" s="19">
      <c r="A60" s="11" t="inlineStr">
        <is>
          <t>3120 АИИСКУЭ</t>
        </is>
      </c>
      <c r="B60" s="6" t="inlineStr">
        <is>
          <t>АРМ инженера</t>
        </is>
      </c>
      <c r="C60" s="6" t="inlineStr">
        <is>
          <t>Ноутбук Acer Aspire 5 A515-57-506D</t>
        </is>
      </c>
      <c r="D60" s="6" t="inlineStr">
        <is>
          <t>A515-57-506D</t>
        </is>
      </c>
      <c r="E60" s="6" t="n">
        <v>1</v>
      </c>
      <c r="F60" s="6" t="inlineStr">
        <is>
          <t>1556(1)</t>
        </is>
      </c>
      <c r="G60" s="6" t="inlineStr">
        <is>
          <t>-</t>
        </is>
      </c>
      <c r="H60" s="6" t="inlineStr">
        <is>
          <t>В СО 4А было Acer Aspire 3 A317-55P — по 4B заменён</t>
        </is>
      </c>
    </row>
    <row r="61" ht="26.4" customHeight="1" s="19">
      <c r="A61" s="11" t="inlineStr">
        <is>
          <t>3120 АИИСКУЭ</t>
        </is>
      </c>
      <c r="B61" s="6" t="inlineStr">
        <is>
          <t>SG</t>
        </is>
      </c>
      <c r="C61" s="6" t="inlineStr">
        <is>
          <t>Коробка испытательная переходная</t>
        </is>
      </c>
      <c r="D61" s="6" t="inlineStr">
        <is>
          <t>КИП-С-IP20 (КЭАЗ)</t>
        </is>
      </c>
      <c r="E61" s="6" t="n">
        <v>6</v>
      </c>
      <c r="F61" s="6" t="inlineStr">
        <is>
          <t>1556(1)</t>
        </is>
      </c>
      <c r="G61" s="6" t="inlineStr">
        <is>
          <t>-</t>
        </is>
      </c>
      <c r="H61" s="6" t="n"/>
    </row>
    <row r="62" ht="26.4" customHeight="1" s="19">
      <c r="A62" s="11" t="inlineStr">
        <is>
          <t>3120 АИИСКУЭ</t>
        </is>
      </c>
      <c r="B62" s="6" t="inlineStr">
        <is>
          <t>—</t>
        </is>
      </c>
      <c r="C62" s="6" t="inlineStr">
        <is>
          <t>Разветвитель интерфейса RS-485/422</t>
        </is>
      </c>
      <c r="D62" s="6" t="inlineStr">
        <is>
          <t>ПР-3 IP65</t>
        </is>
      </c>
      <c r="E62" s="6" t="n">
        <v>6</v>
      </c>
      <c r="F62" s="6" t="inlineStr">
        <is>
          <t>1556(1)</t>
        </is>
      </c>
      <c r="G62" s="6" t="inlineStr">
        <is>
          <t>-</t>
        </is>
      </c>
      <c r="H62" s="6" t="n"/>
    </row>
    <row r="63" ht="26.4" customHeight="1" s="19">
      <c r="A63" s="11" t="inlineStr">
        <is>
          <t>3120 АИИСКУЭ</t>
        </is>
      </c>
      <c r="B63" s="6" t="inlineStr">
        <is>
          <t>—</t>
        </is>
      </c>
      <c r="C63" s="6" t="inlineStr">
        <is>
          <t>Догрузочный резистор 3х5 ВА</t>
        </is>
      </c>
      <c r="D63" s="6" t="inlineStr">
        <is>
          <t>МР 3021-Н-100/V3В-3х5 ВА</t>
        </is>
      </c>
      <c r="E63" s="6" t="n">
        <v>6</v>
      </c>
      <c r="F63" s="6" t="inlineStr">
        <is>
          <t>1556(1)</t>
        </is>
      </c>
      <c r="G63" s="6" t="inlineStr">
        <is>
          <t>-</t>
        </is>
      </c>
      <c r="H63" s="6" t="n"/>
    </row>
    <row r="64" ht="26.4" customHeight="1" s="19">
      <c r="A64" s="11" t="inlineStr">
        <is>
          <t>3120 АИИСКУЭ</t>
        </is>
      </c>
      <c r="B64" s="6" t="inlineStr">
        <is>
          <t>—</t>
        </is>
      </c>
      <c r="C64" s="6" t="inlineStr">
        <is>
          <t>Догрузочный резистор 3х10 ВА</t>
        </is>
      </c>
      <c r="D64" s="6" t="inlineStr">
        <is>
          <t>МР 3021-Н-100/V3В-3х10 ВА</t>
        </is>
      </c>
      <c r="E64" s="6" t="n">
        <v>4</v>
      </c>
      <c r="F64" s="6" t="inlineStr">
        <is>
          <t>1556(1)</t>
        </is>
      </c>
      <c r="G64" s="6" t="inlineStr">
        <is>
          <t>-</t>
        </is>
      </c>
      <c r="H64" s="6" t="n"/>
    </row>
    <row r="65" ht="26.4" customHeight="1" s="19">
      <c r="A65" s="11" t="inlineStr">
        <is>
          <t>3120 АИИСКУЭ</t>
        </is>
      </c>
      <c r="B65" s="6" t="inlineStr">
        <is>
          <t>—</t>
        </is>
      </c>
      <c r="C65" s="6" t="inlineStr">
        <is>
          <t>Догрузочный резистор 4 ВА</t>
        </is>
      </c>
      <c r="D65" s="6" t="inlineStr">
        <is>
          <t>МР 3021-Т-1А-4ВА</t>
        </is>
      </c>
      <c r="E65" s="6" t="n">
        <v>21</v>
      </c>
      <c r="F65" s="6" t="inlineStr">
        <is>
          <t>1556(1)</t>
        </is>
      </c>
      <c r="G65" s="6" t="inlineStr">
        <is>
          <t>-</t>
        </is>
      </c>
      <c r="H65" s="6" t="n"/>
    </row>
    <row r="66" ht="26.4" customHeight="1" s="19">
      <c r="A66" s="11" t="inlineStr">
        <is>
          <t>3120 АИИСКУЭ</t>
        </is>
      </c>
      <c r="B66" s="6" t="inlineStr">
        <is>
          <t>АРМ оператора</t>
        </is>
      </c>
      <c r="C66" s="6" t="inlineStr">
        <is>
          <t>ОС Astra Linux SE (Орёл)</t>
        </is>
      </c>
      <c r="D66" s="6" t="inlineStr">
        <is>
          <t>РусБИТех-Астра</t>
        </is>
      </c>
      <c r="E66" s="6" t="n">
        <v>1</v>
      </c>
      <c r="F66" s="6" t="inlineStr">
        <is>
          <t>1556(1)</t>
        </is>
      </c>
      <c r="G66" s="6" t="inlineStr">
        <is>
          <t>-</t>
        </is>
      </c>
      <c r="H66" s="6" t="n"/>
    </row>
    <row r="67" ht="26.4" customHeight="1" s="19">
      <c r="A67" s="11" t="inlineStr">
        <is>
          <t>3120 АИИСКУЭ</t>
        </is>
      </c>
      <c r="B67" s="6" t="inlineStr">
        <is>
          <t>АРМ оператора</t>
        </is>
      </c>
      <c r="C67" s="6" t="inlineStr">
        <is>
          <t>Комплект клавиатура + мышь</t>
        </is>
      </c>
      <c r="D67" s="6" t="inlineStr">
        <is>
          <t>A4TECH KK-3330S</t>
        </is>
      </c>
      <c r="E67" s="6" t="n">
        <v>1</v>
      </c>
      <c r="F67" s="6" t="inlineStr">
        <is>
          <t>1556(1)</t>
        </is>
      </c>
      <c r="G67" s="6" t="inlineStr">
        <is>
          <t>-</t>
        </is>
      </c>
      <c r="H67" s="6" t="n"/>
    </row>
    <row r="68" ht="26.4" customHeight="1" s="19">
      <c r="A68" s="11" t="inlineStr">
        <is>
          <t>3120 АИИСКУЭ</t>
        </is>
      </c>
      <c r="B68" s="6" t="inlineStr">
        <is>
          <t>АРМ оператора</t>
        </is>
      </c>
      <c r="C68" s="6" t="inlineStr">
        <is>
          <t>Колонки</t>
        </is>
      </c>
      <c r="D68" s="6" t="inlineStr">
        <is>
          <t>Sven 230</t>
        </is>
      </c>
      <c r="E68" s="6" t="n">
        <v>1</v>
      </c>
      <c r="F68" s="6" t="inlineStr">
        <is>
          <t>1556(1)</t>
        </is>
      </c>
      <c r="G68" s="6" t="inlineStr">
        <is>
          <t>-</t>
        </is>
      </c>
      <c r="H68" s="6" t="n"/>
    </row>
    <row r="69" ht="26.4" customHeight="1" s="19">
      <c r="A69" s="11" t="inlineStr">
        <is>
          <t>3120 АИИСКУЭ</t>
        </is>
      </c>
      <c r="B69" s="6" t="inlineStr">
        <is>
          <t>АРМ инженера</t>
        </is>
      </c>
      <c r="C69" s="6" t="inlineStr">
        <is>
          <t>Кабель DB9–USB</t>
        </is>
      </c>
      <c r="D69" s="6" t="inlineStr">
        <is>
          <t>UGREEN CR104</t>
        </is>
      </c>
      <c r="E69" s="6" t="n">
        <v>1</v>
      </c>
      <c r="F69" s="6" t="inlineStr">
        <is>
          <t>1556(1)</t>
        </is>
      </c>
      <c r="G69" s="6" t="inlineStr">
        <is>
          <t>-</t>
        </is>
      </c>
      <c r="H69" s="6" t="n"/>
    </row>
    <row r="70" ht="26.4" customHeight="1" s="19">
      <c r="A70" s="11" t="inlineStr">
        <is>
          <t>3120 АИИСКУЭ</t>
        </is>
      </c>
      <c r="B70" s="6" t="inlineStr">
        <is>
          <t>АРМ инженера</t>
        </is>
      </c>
      <c r="C70" s="6" t="inlineStr">
        <is>
          <t>Мышь беспроводная</t>
        </is>
      </c>
      <c r="D70" s="6" t="inlineStr">
        <is>
          <t>A4TECH Fstyler FG10S</t>
        </is>
      </c>
      <c r="E70" s="6" t="n">
        <v>1</v>
      </c>
      <c r="F70" s="6" t="inlineStr">
        <is>
          <t>1556(1)</t>
        </is>
      </c>
      <c r="G70" s="6" t="inlineStr">
        <is>
          <t>-</t>
        </is>
      </c>
      <c r="H70" s="6" t="n"/>
    </row>
    <row r="71" ht="26.4" customHeight="1" s="19">
      <c r="A71" s="11" t="inlineStr">
        <is>
          <t>3120 АИИСКУЭ</t>
        </is>
      </c>
      <c r="B71" s="6" t="inlineStr">
        <is>
          <t>АРМ инженера</t>
        </is>
      </c>
      <c r="C71" s="6" t="inlineStr">
        <is>
          <t>Сумка для ноутбука 17,3"</t>
        </is>
      </c>
      <c r="D71" s="6" t="inlineStr">
        <is>
          <t>Continent CC-018</t>
        </is>
      </c>
      <c r="E71" s="6" t="n">
        <v>1</v>
      </c>
      <c r="F71" s="6" t="inlineStr">
        <is>
          <t>-</t>
        </is>
      </c>
      <c r="G71" s="6" t="inlineStr">
        <is>
          <t>-</t>
        </is>
      </c>
      <c r="H71" s="6" t="n"/>
    </row>
    <row r="72" ht="26.4" customHeight="1" s="19">
      <c r="A72" s="6" t="inlineStr">
        <is>
          <t>3120 ЭО</t>
        </is>
      </c>
      <c r="B72" s="6" t="inlineStr">
        <is>
          <t>1.1 DY2.2N</t>
        </is>
      </c>
      <c r="C72" s="6" t="inlineStr">
        <is>
          <t>Пункт распределительный навесной 400 В (вводной)</t>
        </is>
      </c>
      <c r="D72" s="6" t="inlineStr">
        <is>
          <t>03-90-1200-28-ЭО-002</t>
        </is>
      </c>
      <c r="E72" s="6" t="n">
        <v>1</v>
      </c>
      <c r="F72" s="6" t="inlineStr">
        <is>
          <t>1541</t>
        </is>
      </c>
      <c r="G72" s="6" t="inlineStr">
        <is>
          <t>-</t>
        </is>
      </c>
      <c r="H72" s="6" t="n"/>
    </row>
    <row r="73">
      <c r="A73" s="6" t="inlineStr">
        <is>
          <t>3120 ЭО</t>
        </is>
      </c>
      <c r="B73" s="6" t="inlineStr">
        <is>
          <t>1.2 DY1.1N…DY1.6N</t>
        </is>
      </c>
      <c r="C73" s="6" t="inlineStr">
        <is>
          <t>Пункт распределительный навесной 400 В</t>
        </is>
      </c>
      <c r="D73" s="6" t="inlineStr">
        <is>
          <t>03-90-1200-28-ЭО-002</t>
        </is>
      </c>
      <c r="E73" s="6" t="n">
        <v>6</v>
      </c>
      <c r="F73" s="6" t="inlineStr">
        <is>
          <t>1541</t>
        </is>
      </c>
      <c r="G73" s="6" t="inlineStr">
        <is>
          <t>-</t>
        </is>
      </c>
      <c r="H73" s="6" t="n"/>
    </row>
    <row r="74" ht="26.4" customHeight="1" s="19">
      <c r="A74" s="6" t="inlineStr">
        <is>
          <t>3120 ЭО</t>
        </is>
      </c>
      <c r="B74" s="6" t="inlineStr">
        <is>
          <t>1.3 DS2.1N</t>
        </is>
      </c>
      <c r="C74" s="6" t="inlineStr">
        <is>
          <t>Вводно-распределительное устройство 100 А (щит освещения)</t>
        </is>
      </c>
      <c r="D74" s="6" t="inlineStr">
        <is>
          <t>03-90-1200-28-ЭО-002</t>
        </is>
      </c>
      <c r="E74" s="6" t="n">
        <v>1</v>
      </c>
      <c r="F74" s="6" t="inlineStr">
        <is>
          <t>1541</t>
        </is>
      </c>
      <c r="G74" s="6" t="inlineStr">
        <is>
          <t>-</t>
        </is>
      </c>
      <c r="H74" s="6" t="n"/>
    </row>
    <row r="75" ht="26.4" customHeight="1" s="19">
      <c r="A75" s="6" t="inlineStr">
        <is>
          <t>3120 ЭО</t>
        </is>
      </c>
      <c r="B75" s="6" t="inlineStr">
        <is>
          <t>1.4 DS2.2N</t>
        </is>
      </c>
      <c r="C75" s="6" t="inlineStr">
        <is>
          <t>Вводно-распределительное устройство 100 А (щит освещения)</t>
        </is>
      </c>
      <c r="D75" s="6" t="inlineStr">
        <is>
          <t>03-90-1200-28-ЭО-002</t>
        </is>
      </c>
      <c r="E75" s="6" t="n">
        <v>1</v>
      </c>
      <c r="F75" s="6" t="inlineStr">
        <is>
          <t>1541</t>
        </is>
      </c>
      <c r="G75" s="6" t="inlineStr">
        <is>
          <t>-</t>
        </is>
      </c>
      <c r="H75" s="6" t="n"/>
    </row>
    <row r="76" ht="39.6" customHeight="1" s="19">
      <c r="A76" s="6" t="inlineStr">
        <is>
          <t>3120 ЭО</t>
        </is>
      </c>
      <c r="B76" s="6" t="inlineStr">
        <is>
          <t>3.1</t>
        </is>
      </c>
      <c r="C76" s="6" t="inlineStr">
        <is>
          <t>Светильник светодиодный, накладной, опал. рассеиватель</t>
        </is>
      </c>
      <c r="D76" s="6" t="inlineStr">
        <is>
          <t>Тип 1</t>
        </is>
      </c>
      <c r="E76" s="6" t="n">
        <v>62</v>
      </c>
      <c r="F76" s="6" t="inlineStr">
        <is>
          <t>1408-1, 1449-1, 1565-1, 1408, 1449</t>
        </is>
      </c>
      <c r="G76" s="6" t="inlineStr">
        <is>
          <t>1070-3120-ЭО-ВК-ЧНД</t>
        </is>
      </c>
      <c r="H76" s="6" t="inlineStr">
        <is>
          <t>Светильники по RFI 1408-1/1449-1/1565-1 (типы SZSW/SW1230) — соответствие типам СО не подтверждено; зав. № на светильники в документах не указываются</t>
        </is>
      </c>
    </row>
    <row r="77" ht="39.6" customHeight="1" s="19">
      <c r="A77" s="6" t="inlineStr">
        <is>
          <t>3120 ЭО</t>
        </is>
      </c>
      <c r="B77" s="6" t="inlineStr">
        <is>
          <t>3.2</t>
        </is>
      </c>
      <c r="C77" s="6" t="inlineStr">
        <is>
          <t>Светильник светодиодный, накладной, с БАП</t>
        </is>
      </c>
      <c r="D77" s="6" t="inlineStr">
        <is>
          <t>Тип 1.1</t>
        </is>
      </c>
      <c r="E77" s="6" t="n">
        <v>46</v>
      </c>
      <c r="F77" s="6" t="inlineStr">
        <is>
          <t>1408-1, 1449-1, 1565-1, 1408, 1449</t>
        </is>
      </c>
      <c r="G77" s="6" t="inlineStr">
        <is>
          <t>-</t>
        </is>
      </c>
      <c r="H77" s="6" t="n"/>
    </row>
    <row r="78" ht="39.6" customHeight="1" s="19">
      <c r="A78" s="6" t="inlineStr">
        <is>
          <t>3120 ЭО</t>
        </is>
      </c>
      <c r="B78" s="6" t="inlineStr">
        <is>
          <t>3.3</t>
        </is>
      </c>
      <c r="C78" s="6" t="inlineStr">
        <is>
          <t>Светильник светодиодный, накладной, микропризма</t>
        </is>
      </c>
      <c r="D78" s="6" t="inlineStr">
        <is>
          <t>Тип 2</t>
        </is>
      </c>
      <c r="E78" s="6" t="n">
        <v>18</v>
      </c>
      <c r="F78" s="6" t="inlineStr">
        <is>
          <t>1408-1, 1449-1, 1565-1, 1408, 1449</t>
        </is>
      </c>
      <c r="G78" s="6" t="inlineStr">
        <is>
          <t>-</t>
        </is>
      </c>
      <c r="H78" s="6" t="n"/>
    </row>
    <row r="79" ht="39.6" customHeight="1" s="19">
      <c r="A79" s="6" t="inlineStr">
        <is>
          <t>3120 ЭО</t>
        </is>
      </c>
      <c r="B79" s="6" t="inlineStr">
        <is>
          <t>3.4</t>
        </is>
      </c>
      <c r="C79" s="6" t="inlineStr">
        <is>
          <t>Светильник светодиодный, накладной, микропризма, с БАП</t>
        </is>
      </c>
      <c r="D79" s="6" t="inlineStr">
        <is>
          <t>Тип 2.1</t>
        </is>
      </c>
      <c r="E79" s="6" t="n">
        <v>15</v>
      </c>
      <c r="F79" s="6" t="inlineStr">
        <is>
          <t>1408-1, 1449-1, 1565-1, 1408, 1449</t>
        </is>
      </c>
      <c r="G79" s="6" t="inlineStr">
        <is>
          <t>-</t>
        </is>
      </c>
      <c r="H79" s="6" t="n"/>
    </row>
    <row r="80" ht="39.6" customHeight="1" s="19">
      <c r="A80" s="6" t="inlineStr">
        <is>
          <t>3120 ЭО</t>
        </is>
      </c>
      <c r="B80" s="6" t="inlineStr">
        <is>
          <t>3.5</t>
        </is>
      </c>
      <c r="C80" s="6" t="inlineStr">
        <is>
          <t>Светильник светодиодный, накладной 2200 лм</t>
        </is>
      </c>
      <c r="D80" s="6" t="inlineStr">
        <is>
          <t>Тип 4</t>
        </is>
      </c>
      <c r="E80" s="6" t="n">
        <v>31</v>
      </c>
      <c r="F80" s="6" t="inlineStr">
        <is>
          <t>1408-1, 1449-1, 1565-1, 1408</t>
        </is>
      </c>
      <c r="G80" s="6" t="inlineStr">
        <is>
          <t>1070-3120-ЭО-ВК-ЧНД</t>
        </is>
      </c>
      <c r="H80" s="6" t="n"/>
    </row>
    <row r="81" ht="39.6" customHeight="1" s="19">
      <c r="A81" s="6" t="inlineStr">
        <is>
          <t>3120 ЭО</t>
        </is>
      </c>
      <c r="B81" s="6" t="inlineStr">
        <is>
          <t>3.6</t>
        </is>
      </c>
      <c r="C81" s="6" t="inlineStr">
        <is>
          <t>Светильник светодиодный, накладной 2200 лм, с БАП</t>
        </is>
      </c>
      <c r="D81" s="6" t="inlineStr">
        <is>
          <t>Тип 4.1</t>
        </is>
      </c>
      <c r="E81" s="6" t="n">
        <v>9</v>
      </c>
      <c r="F81" s="6" t="inlineStr">
        <is>
          <t>1408-1, 1449-1, 1565-1, 1408, 1449</t>
        </is>
      </c>
      <c r="G81" s="6" t="inlineStr">
        <is>
          <t>-</t>
        </is>
      </c>
      <c r="H81" s="6" t="n"/>
    </row>
    <row r="82" ht="39.6" customHeight="1" s="19">
      <c r="A82" s="6" t="inlineStr">
        <is>
          <t>3120 ЭО</t>
        </is>
      </c>
      <c r="B82" s="6" t="inlineStr">
        <is>
          <t>3.7</t>
        </is>
      </c>
      <c r="C82" s="6" t="inlineStr">
        <is>
          <t>Светильник светодиодный, накладной 3300 лм</t>
        </is>
      </c>
      <c r="D82" s="6" t="inlineStr">
        <is>
          <t>Тип 5</t>
        </is>
      </c>
      <c r="E82" s="6" t="n">
        <v>27</v>
      </c>
      <c r="F82" s="6" t="inlineStr">
        <is>
          <t>1408-1, 1449-1, 1565-1, 1408, 1449</t>
        </is>
      </c>
      <c r="G82" s="6" t="inlineStr">
        <is>
          <t>-</t>
        </is>
      </c>
      <c r="H82" s="6" t="n"/>
    </row>
    <row r="83" ht="39.6" customHeight="1" s="19">
      <c r="A83" s="6" t="inlineStr">
        <is>
          <t>3120 ЭО</t>
        </is>
      </c>
      <c r="B83" s="6" t="inlineStr">
        <is>
          <t>3.8</t>
        </is>
      </c>
      <c r="C83" s="6" t="inlineStr">
        <is>
          <t>Светильник светодиодный, накладной 3300 лм, с БАП</t>
        </is>
      </c>
      <c r="D83" s="6" t="inlineStr">
        <is>
          <t>Тип 5.1</t>
        </is>
      </c>
      <c r="E83" s="6" t="n">
        <v>7</v>
      </c>
      <c r="F83" s="6" t="inlineStr">
        <is>
          <t>1408-1, 1449-1, 1565-1, 1408, 1449</t>
        </is>
      </c>
      <c r="G83" s="6" t="inlineStr">
        <is>
          <t>-</t>
        </is>
      </c>
      <c r="H83" s="6" t="n"/>
    </row>
    <row r="84" ht="39.6" customHeight="1" s="19">
      <c r="A84" s="6" t="inlineStr">
        <is>
          <t>3120 ЭО</t>
        </is>
      </c>
      <c r="B84" s="6" t="inlineStr">
        <is>
          <t>3.9</t>
        </is>
      </c>
      <c r="C84" s="6" t="inlineStr">
        <is>
          <t>Светильник светодиодный, накладной 1900 лм</t>
        </is>
      </c>
      <c r="D84" s="6" t="inlineStr">
        <is>
          <t>Тип 6</t>
        </is>
      </c>
      <c r="E84" s="6" t="n">
        <v>21</v>
      </c>
      <c r="F84" s="6" t="inlineStr">
        <is>
          <t>1408-1, 1449-1, 1565-1, 1408, 1449</t>
        </is>
      </c>
      <c r="G84" s="6" t="inlineStr">
        <is>
          <t>1070-3120-ЭО-ВК-ЧНД</t>
        </is>
      </c>
      <c r="H84" s="6" t="n"/>
    </row>
    <row r="85" ht="39.6" customHeight="1" s="19">
      <c r="A85" s="6" t="inlineStr">
        <is>
          <t>3120 ЭО</t>
        </is>
      </c>
      <c r="B85" s="6" t="inlineStr">
        <is>
          <t>3.10</t>
        </is>
      </c>
      <c r="C85" s="6" t="inlineStr">
        <is>
          <t>Светильник светодиодный, накладной 1700 лм</t>
        </is>
      </c>
      <c r="D85" s="6" t="inlineStr">
        <is>
          <t>Тип 7</t>
        </is>
      </c>
      <c r="E85" s="6" t="n">
        <v>4</v>
      </c>
      <c r="F85" s="6" t="inlineStr">
        <is>
          <t>1408-1, 1449-1, 1565-1, 1408, 1449</t>
        </is>
      </c>
      <c r="G85" s="6" t="inlineStr">
        <is>
          <t>-</t>
        </is>
      </c>
      <c r="H85" s="6" t="n"/>
    </row>
    <row r="86" ht="39.6" customHeight="1" s="19">
      <c r="A86" s="6" t="inlineStr">
        <is>
          <t>3120 ЭО</t>
        </is>
      </c>
      <c r="B86" s="6" t="inlineStr">
        <is>
          <t>3.11</t>
        </is>
      </c>
      <c r="C86" s="6" t="inlineStr">
        <is>
          <t>Светильник светодиодный, накладной 1200 лм</t>
        </is>
      </c>
      <c r="D86" s="6" t="inlineStr">
        <is>
          <t>Тип 8</t>
        </is>
      </c>
      <c r="E86" s="6" t="n">
        <v>7</v>
      </c>
      <c r="F86" s="6" t="inlineStr">
        <is>
          <t>1408-1, 1449-1, 1565-1, 1408, 1449</t>
        </is>
      </c>
      <c r="G86" s="6" t="inlineStr">
        <is>
          <t>1070-3120-ЭО-ВК-ЧНД</t>
        </is>
      </c>
      <c r="H86" s="6" t="n"/>
    </row>
    <row r="87" ht="39.6" customHeight="1" s="19">
      <c r="A87" s="6" t="inlineStr">
        <is>
          <t>3120 ЭО</t>
        </is>
      </c>
      <c r="B87" s="6" t="inlineStr">
        <is>
          <t>3.12</t>
        </is>
      </c>
      <c r="C87" s="6" t="inlineStr">
        <is>
          <t>Светильник светодиодный, прожектор 7600 лм</t>
        </is>
      </c>
      <c r="D87" s="6" t="inlineStr">
        <is>
          <t>Тип 9</t>
        </is>
      </c>
      <c r="E87" s="6" t="n">
        <v>22</v>
      </c>
      <c r="F87" s="6" t="inlineStr">
        <is>
          <t>1408-1, 1449-1, 1565-1, 1408, 1449</t>
        </is>
      </c>
      <c r="G87" s="6" t="inlineStr">
        <is>
          <t>1070-3120-ЭО-ВК-ЧНД</t>
        </is>
      </c>
      <c r="H87" s="6" t="n"/>
    </row>
    <row r="88" ht="39.6" customHeight="1" s="19">
      <c r="A88" s="6" t="inlineStr">
        <is>
          <t>3120 ЭО</t>
        </is>
      </c>
      <c r="B88" s="6" t="inlineStr">
        <is>
          <t>3.13</t>
        </is>
      </c>
      <c r="C88" s="6" t="inlineStr">
        <is>
          <t>Светильник светодиодный, встраиваемый 2000 лм</t>
        </is>
      </c>
      <c r="D88" s="6" t="inlineStr">
        <is>
          <t>Тип 10</t>
        </is>
      </c>
      <c r="E88" s="6" t="n">
        <v>9</v>
      </c>
      <c r="F88" s="6" t="inlineStr">
        <is>
          <t>1408-1, 1449-1, 1565-1, 1408, 1449</t>
        </is>
      </c>
      <c r="G88" s="6" t="inlineStr">
        <is>
          <t>-</t>
        </is>
      </c>
      <c r="H88" s="6" t="n"/>
    </row>
    <row r="89" ht="39.6" customHeight="1" s="19">
      <c r="A89" s="6" t="inlineStr">
        <is>
          <t>3120 ЭО</t>
        </is>
      </c>
      <c r="B89" s="6" t="inlineStr">
        <is>
          <t>3.14</t>
        </is>
      </c>
      <c r="C89" s="6" t="inlineStr">
        <is>
          <t>Светильник светодиодный, встраиваемый, с БАП</t>
        </is>
      </c>
      <c r="D89" s="6" t="inlineStr">
        <is>
          <t>Тип 10.1</t>
        </is>
      </c>
      <c r="E89" s="6" t="n">
        <v>1</v>
      </c>
      <c r="F89" s="6" t="inlineStr">
        <is>
          <t>1408-1, 1449-1, 1565-1, 1408, 1449</t>
        </is>
      </c>
      <c r="G89" s="6" t="inlineStr">
        <is>
          <t>1070-3120-ЭО-ВК-ЧНД</t>
        </is>
      </c>
      <c r="H89" s="6" t="n"/>
    </row>
    <row r="90" ht="39.6" customHeight="1" s="19">
      <c r="A90" s="6" t="inlineStr">
        <is>
          <t>3120 ЭО</t>
        </is>
      </c>
      <c r="B90" s="6" t="inlineStr">
        <is>
          <t>3.15</t>
        </is>
      </c>
      <c r="C90" s="6" t="inlineStr">
        <is>
          <t>Светильник светодиодный, встраиваемый 3400 лм</t>
        </is>
      </c>
      <c r="D90" s="6" t="inlineStr">
        <is>
          <t>Тип 11</t>
        </is>
      </c>
      <c r="E90" s="6" t="n">
        <v>4</v>
      </c>
      <c r="F90" s="6" t="inlineStr">
        <is>
          <t>1408-1, 1449-1, 1565-1, 1408, 1449</t>
        </is>
      </c>
      <c r="G90" s="6" t="inlineStr">
        <is>
          <t>-</t>
        </is>
      </c>
      <c r="H90" s="6" t="n"/>
    </row>
    <row r="91" ht="39.6" customHeight="1" s="19">
      <c r="A91" s="6" t="inlineStr">
        <is>
          <t>3120 ЭО</t>
        </is>
      </c>
      <c r="B91" s="6" t="inlineStr">
        <is>
          <t>3.16</t>
        </is>
      </c>
      <c r="C91" s="6" t="inlineStr">
        <is>
          <t>Светильник светодиодный, встраиваемый 3400 лм, с БАП</t>
        </is>
      </c>
      <c r="D91" s="6" t="inlineStr">
        <is>
          <t>Тип 11.1</t>
        </is>
      </c>
      <c r="E91" s="6" t="n">
        <v>1</v>
      </c>
      <c r="F91" s="6" t="inlineStr">
        <is>
          <t>1408-1, 1449-1, 1565-1, 1408, 1449</t>
        </is>
      </c>
      <c r="G91" s="6" t="inlineStr">
        <is>
          <t>1070-3120-ЭО-ВК-ЧНД</t>
        </is>
      </c>
      <c r="H91" s="6" t="n"/>
    </row>
    <row r="92" ht="39.6" customHeight="1" s="19">
      <c r="A92" s="6" t="inlineStr">
        <is>
          <t>3120 ЭО</t>
        </is>
      </c>
      <c r="B92" s="6" t="inlineStr">
        <is>
          <t>3.17</t>
        </is>
      </c>
      <c r="C92" s="6" t="inlineStr">
        <is>
          <t>Светильник светодиодный, на консоль 3400 лм</t>
        </is>
      </c>
      <c r="D92" s="6" t="inlineStr">
        <is>
          <t>Тип 12</t>
        </is>
      </c>
      <c r="E92" s="6" t="n">
        <v>6</v>
      </c>
      <c r="F92" s="6" t="inlineStr">
        <is>
          <t>1408-1, 1449-1, 1565-1, 1408, 1449</t>
        </is>
      </c>
      <c r="G92" s="6" t="inlineStr">
        <is>
          <t>-</t>
        </is>
      </c>
      <c r="H92" s="6" t="n"/>
    </row>
    <row r="93" ht="39.6" customHeight="1" s="19">
      <c r="A93" s="6" t="inlineStr">
        <is>
          <t>3120 ЭО</t>
        </is>
      </c>
      <c r="B93" s="6" t="inlineStr">
        <is>
          <t>3.18</t>
        </is>
      </c>
      <c r="C93" s="6" t="inlineStr">
        <is>
          <t>Светильник светодиодный, прожектор 450 Вт IP67</t>
        </is>
      </c>
      <c r="D93" s="6" t="inlineStr">
        <is>
          <t>Тип 13</t>
        </is>
      </c>
      <c r="E93" s="6" t="n">
        <v>18</v>
      </c>
      <c r="F93" s="6" t="inlineStr">
        <is>
          <t>1408-1, 1449-1, 1565-1, 1408</t>
        </is>
      </c>
      <c r="G93" s="6" t="inlineStr">
        <is>
          <t>-</t>
        </is>
      </c>
      <c r="H93" s="6" t="n"/>
    </row>
    <row r="94">
      <c r="A94" s="6" t="inlineStr">
        <is>
          <t>3120 ЭО</t>
        </is>
      </c>
      <c r="B94" s="6" t="inlineStr">
        <is>
          <t>—</t>
        </is>
      </c>
      <c r="C94" s="6" t="inlineStr">
        <is>
          <t>Ящик с понижающим трансформатором</t>
        </is>
      </c>
      <c r="D94" s="6" t="inlineStr">
        <is>
          <t>ЯТП-0,25 230/24</t>
        </is>
      </c>
      <c r="E94" s="6" t="n">
        <v>9</v>
      </c>
      <c r="F94" s="6" t="inlineStr">
        <is>
          <t>1545, 1541</t>
        </is>
      </c>
      <c r="G94" s="6" t="inlineStr">
        <is>
          <t>-</t>
        </is>
      </c>
      <c r="H94" s="6" t="inlineStr">
        <is>
          <t>RFI 1545 принят; АоРПИ нет</t>
        </is>
      </c>
    </row>
    <row r="95" ht="26.4" customHeight="1" s="19">
      <c r="A95" s="6" t="inlineStr">
        <is>
          <t>3120 ЭО</t>
        </is>
      </c>
      <c r="B95" s="6" t="inlineStr">
        <is>
          <t>—</t>
        </is>
      </c>
      <c r="C95" s="6" t="inlineStr">
        <is>
          <t>Блок аварийного питания для LED-светильников 70 Вт</t>
        </is>
      </c>
      <c r="D95" s="6" t="inlineStr">
        <is>
          <t>CONVERSION KIT LED 70W</t>
        </is>
      </c>
      <c r="E95" s="6" t="n">
        <v>2</v>
      </c>
      <c r="F95" s="6" t="inlineStr">
        <is>
          <t>1642</t>
        </is>
      </c>
      <c r="G95" s="6" t="inlineStr">
        <is>
          <t>823-3120-ЭО-ВК-ЧНД</t>
        </is>
      </c>
      <c r="H95" s="6" t="inlineStr">
        <is>
          <t>Также БАП 200 Вт — 5 шт, 120 Вт — 1 шт, АоРПИ нет</t>
        </is>
      </c>
    </row>
    <row r="96" ht="26.4" customHeight="1" s="19">
      <c r="A96" s="6" t="inlineStr">
        <is>
          <t>3120 ЭО</t>
        </is>
      </c>
      <c r="B96" s="6" t="inlineStr">
        <is>
          <t>3.24 БАП-1…</t>
        </is>
      </c>
      <c r="C96" s="6" t="inlineStr">
        <is>
          <t>Блок аварийного питания для LED-светильников до 200 Вт, 1 ч</t>
        </is>
      </c>
      <c r="D96" s="6" t="n"/>
      <c r="E96" s="6" t="n">
        <v>5</v>
      </c>
      <c r="F96" s="6" t="inlineStr">
        <is>
          <t>1642</t>
        </is>
      </c>
      <c r="G96" s="6" t="inlineStr">
        <is>
          <t>823-3120-ЭО-ВК-ЧНД</t>
        </is>
      </c>
      <c r="H96" s="6" t="n"/>
    </row>
    <row r="97" ht="26.4" customHeight="1" s="19">
      <c r="A97" s="6" t="inlineStr">
        <is>
          <t>3120 ЭО</t>
        </is>
      </c>
      <c r="B97" s="6" t="inlineStr">
        <is>
          <t>3.25 БАП-4</t>
        </is>
      </c>
      <c r="C97" s="6" t="inlineStr">
        <is>
          <t>Блок аварийного питания для LED-светильников до 120 Вт, 1 ч</t>
        </is>
      </c>
      <c r="D97" s="6" t="n"/>
      <c r="E97" s="6" t="n">
        <v>1</v>
      </c>
      <c r="F97" s="6" t="inlineStr">
        <is>
          <t>1642</t>
        </is>
      </c>
      <c r="G97" s="6" t="inlineStr">
        <is>
          <t>823-3120-ЭО-ВК-ЧНД</t>
        </is>
      </c>
      <c r="H97" s="6" t="n"/>
    </row>
    <row r="98" ht="26.4" customHeight="1" s="19">
      <c r="A98" s="6" t="inlineStr">
        <is>
          <t>3120 СС</t>
        </is>
      </c>
      <c r="B98" s="6" t="inlineStr">
        <is>
          <t>SW4051-1, SW4031-1</t>
        </is>
      </c>
      <c r="C98" s="6" t="inlineStr">
        <is>
          <t>Коммутатор L3 PoE 48 портов (в составе: коммутатор, 2 БП, сертификат)</t>
        </is>
      </c>
      <c r="D98" s="6" t="n"/>
      <c r="E98" s="6" t="n">
        <v>2</v>
      </c>
      <c r="F98" s="6" t="inlineStr">
        <is>
          <t>1828</t>
        </is>
      </c>
      <c r="G98" s="6" t="inlineStr">
        <is>
          <t>-</t>
        </is>
      </c>
      <c r="H98" s="6" t="inlineStr">
        <is>
          <t>Для тит. 4051/4031 (в составе СО 3120 СС)</t>
        </is>
      </c>
    </row>
    <row r="99">
      <c r="A99" s="6" t="inlineStr">
        <is>
          <t>3120 СС</t>
        </is>
      </c>
      <c r="B99" s="6" t="inlineStr">
        <is>
          <t>3.5</t>
        </is>
      </c>
      <c r="C99" s="6" t="inlineStr">
        <is>
          <t>Мобильный АРМ 13,4"</t>
        </is>
      </c>
      <c r="D99" s="6" t="n"/>
      <c r="E99" s="6" t="n">
        <v>2</v>
      </c>
      <c r="F99" s="6" t="inlineStr">
        <is>
          <t>-</t>
        </is>
      </c>
      <c r="G99" s="6" t="inlineStr">
        <is>
          <t>-</t>
        </is>
      </c>
      <c r="H99" s="6" t="n"/>
    </row>
    <row r="100" ht="26.4" customHeight="1" s="19">
      <c r="A100" s="6" t="inlineStr">
        <is>
          <t>3120 СС</t>
        </is>
      </c>
      <c r="B100" s="6" t="inlineStr">
        <is>
          <t>4.2</t>
        </is>
      </c>
      <c r="C100" s="6" t="inlineStr">
        <is>
          <t>Модуль расширения для телефонов QVP-300P/600P</t>
        </is>
      </c>
      <c r="D100" s="6" t="n"/>
      <c r="E100" s="6" t="n">
        <v>1</v>
      </c>
      <c r="F100" s="6" t="inlineStr">
        <is>
          <t>-</t>
        </is>
      </c>
      <c r="G100" s="6" t="inlineStr">
        <is>
          <t>-</t>
        </is>
      </c>
      <c r="H100" s="6" t="n"/>
    </row>
    <row r="101" ht="39.6" customHeight="1" s="19">
      <c r="A101" s="6" t="inlineStr">
        <is>
          <t>3121 СС</t>
        </is>
      </c>
      <c r="B101" s="6" t="inlineStr">
        <is>
          <t>1.1</t>
        </is>
      </c>
      <c r="C101" s="6" t="inlineStr">
        <is>
          <t>Шкаф телекоммуникационный 42U 800х800</t>
        </is>
      </c>
      <c r="D101" s="6" t="inlineStr">
        <is>
          <t>ШТК-Э-42.8.8-13АА (ЦМО)</t>
        </is>
      </c>
      <c r="E101" s="6" t="n">
        <v>3</v>
      </c>
      <c r="F101" s="6" t="inlineStr">
        <is>
          <t>1828</t>
        </is>
      </c>
      <c r="G101" s="6" t="inlineStr">
        <is>
          <t>-</t>
        </is>
      </c>
      <c r="H101" s="6" t="inlineStr">
        <is>
          <t>RFI 1828 (шкафы 42U — 3 шт) отклонён. В паспортах ЦМО (PO-219-TP-0001 1B, стр. 149–168) зав. № не проставлен — только штамп ОТК 03.09.2025; запросить у поставщика</t>
        </is>
      </c>
    </row>
    <row r="102" ht="26.4" customHeight="1" s="19">
      <c r="A102" s="6" t="inlineStr">
        <is>
          <t>3121 СС</t>
        </is>
      </c>
      <c r="B102" s="6" t="inlineStr">
        <is>
          <t>2.1</t>
        </is>
      </c>
      <c r="C102" s="6" t="inlineStr">
        <is>
          <t>IP-телефон SIP-T30P</t>
        </is>
      </c>
      <c r="D102" s="6" t="inlineStr">
        <is>
          <t>Yealink SIP-T30P</t>
        </is>
      </c>
      <c r="E102" s="6" t="n">
        <v>13</v>
      </c>
      <c r="F102" s="6" t="inlineStr">
        <is>
          <t>-</t>
        </is>
      </c>
      <c r="G102" s="6" t="inlineStr">
        <is>
          <t>-</t>
        </is>
      </c>
      <c r="H102" s="6" t="inlineStr">
        <is>
          <t>Групповой паспорт Айпиматика 27.02.2026 (PO-219-TP-0001 1B, стр. 761–764) — зав. № нет; смотреть на шильдиках/коробках</t>
        </is>
      </c>
    </row>
    <row r="103">
      <c r="A103" s="6" t="inlineStr">
        <is>
          <t>3121 СС</t>
        </is>
      </c>
      <c r="B103" s="6" t="inlineStr">
        <is>
          <t>3.6</t>
        </is>
      </c>
      <c r="C103" s="6" t="inlineStr">
        <is>
          <t>Цифровая АТС «РТУ МОА»</t>
        </is>
      </c>
      <c r="D103" s="6" t="n"/>
      <c r="E103" s="6" t="n">
        <v>1</v>
      </c>
      <c r="F103" s="6" t="inlineStr">
        <is>
          <t>-</t>
        </is>
      </c>
      <c r="G103" s="6" t="inlineStr">
        <is>
          <t>-</t>
        </is>
      </c>
      <c r="H103" s="6" t="inlineStr">
        <is>
          <t>В PO-219-TP-0001 1B паспорта РТУ МОА нет (нет в оглавлении)</t>
        </is>
      </c>
    </row>
    <row r="104">
      <c r="A104" s="6" t="inlineStr">
        <is>
          <t>3121 СС</t>
        </is>
      </c>
      <c r="B104" s="6" t="inlineStr">
        <is>
          <t>3.10</t>
        </is>
      </c>
      <c r="C104" s="6" t="inlineStr">
        <is>
          <t>Универсальный модуль подключений 16х1А</t>
        </is>
      </c>
      <c r="D104" s="6" t="inlineStr">
        <is>
          <t>UMZ16 (Линсис)</t>
        </is>
      </c>
      <c r="E104" s="6" t="n">
        <v>1</v>
      </c>
      <c r="F104" s="6" t="inlineStr">
        <is>
          <t>1828</t>
        </is>
      </c>
      <c r="G104" s="6" t="inlineStr">
        <is>
          <t>-</t>
        </is>
      </c>
      <c r="H104" s="6" t="inlineStr">
        <is>
          <t>В паспорте (PO-219-TP-0001 1B, стр. 394) указано «без номера»</t>
        </is>
      </c>
    </row>
    <row r="105" ht="26.4" customHeight="1" s="19">
      <c r="A105" s="6" t="inlineStr">
        <is>
          <t>3121 СС</t>
        </is>
      </c>
      <c r="B105" s="6" t="inlineStr">
        <is>
          <t>3.12</t>
        </is>
      </c>
      <c r="C105" s="6" t="inlineStr">
        <is>
          <t>KVM-консоль</t>
        </is>
      </c>
      <c r="D105" s="6" t="inlineStr">
        <is>
          <t>ATEN CL3100NX</t>
        </is>
      </c>
      <c r="E105" s="6" t="n">
        <v>1</v>
      </c>
      <c r="F105" s="6" t="inlineStr">
        <is>
          <t>1828</t>
        </is>
      </c>
      <c r="G105" s="6" t="inlineStr">
        <is>
          <t>-</t>
        </is>
      </c>
      <c r="H105" s="6" t="inlineStr">
        <is>
          <t>В PO-219-TP-0001 1B (стр. 25–32) только проспект ATEN, зав. № нет — смотреть на шильдике</t>
        </is>
      </c>
    </row>
    <row r="106">
      <c r="A106" s="6" t="inlineStr">
        <is>
          <t>3121 СС</t>
        </is>
      </c>
      <c r="B106" s="6" t="inlineStr">
        <is>
          <t>3.13</t>
        </is>
      </c>
      <c r="C106" s="6" t="inlineStr">
        <is>
          <t>IP KVM-переключатель</t>
        </is>
      </c>
      <c r="D106" s="6" t="inlineStr">
        <is>
          <t>ATEN KN1108VA</t>
        </is>
      </c>
      <c r="E106" s="6" t="n">
        <v>1</v>
      </c>
      <c r="F106" s="6" t="inlineStr">
        <is>
          <t>-</t>
        </is>
      </c>
      <c r="G106" s="6" t="inlineStr">
        <is>
          <t>-</t>
        </is>
      </c>
      <c r="H106" s="6" t="n"/>
    </row>
    <row r="107">
      <c r="A107" s="6" t="inlineStr">
        <is>
          <t>3121 СС</t>
        </is>
      </c>
      <c r="B107" s="6" t="inlineStr">
        <is>
          <t>3.15</t>
        </is>
      </c>
      <c r="C107" s="6" t="inlineStr">
        <is>
          <t>Маршрутизатор (компл.)</t>
        </is>
      </c>
      <c r="D107" s="6" t="inlineStr">
        <is>
          <t>NSR2900X-14D</t>
        </is>
      </c>
      <c r="E107" s="6" t="n">
        <v>2</v>
      </c>
      <c r="F107" s="6" t="inlineStr">
        <is>
          <t>-</t>
        </is>
      </c>
      <c r="G107" s="6" t="inlineStr">
        <is>
          <t>-</t>
        </is>
      </c>
      <c r="H107" s="6" t="n"/>
    </row>
    <row r="108">
      <c r="A108" s="6" t="inlineStr">
        <is>
          <t>3121 СС</t>
        </is>
      </c>
      <c r="B108" s="6" t="inlineStr">
        <is>
          <t>3.17</t>
        </is>
      </c>
      <c r="C108" s="6" t="inlineStr">
        <is>
          <t>Преобразователь интерфейсов С37.94/Е1</t>
        </is>
      </c>
      <c r="D108" s="6" t="n"/>
      <c r="E108" s="6" t="n">
        <v>2</v>
      </c>
      <c r="F108" s="6" t="inlineStr">
        <is>
          <t>-</t>
        </is>
      </c>
      <c r="G108" s="6" t="inlineStr">
        <is>
          <t>-</t>
        </is>
      </c>
      <c r="H108" s="6" t="n"/>
    </row>
    <row r="109" ht="26.4" customHeight="1" s="19">
      <c r="A109" s="6" t="inlineStr">
        <is>
          <t>3121 СС</t>
        </is>
      </c>
      <c r="B109" s="6" t="inlineStr">
        <is>
          <t>4.14</t>
        </is>
      </c>
      <c r="C109" s="6" t="inlineStr">
        <is>
          <t>Громкоговоритель настенный 10/5 Вт</t>
        </is>
      </c>
      <c r="D109" s="6" t="inlineStr">
        <is>
          <t>LPA-10W3 (Линсис)</t>
        </is>
      </c>
      <c r="E109" s="6" t="n">
        <v>4</v>
      </c>
      <c r="F109" s="6" t="inlineStr">
        <is>
          <t>1576-1</t>
        </is>
      </c>
      <c r="G109" s="6" t="inlineStr">
        <is>
          <t>-</t>
        </is>
      </c>
      <c r="H109" s="6" t="inlineStr">
        <is>
          <t>По RFI 1576-1 поставлено LPA-10W3 — 2 шт, LPA-6W — 41 шт (на все титулы)</t>
        </is>
      </c>
    </row>
    <row r="110">
      <c r="A110" s="6" t="inlineStr">
        <is>
          <t>3121 СС</t>
        </is>
      </c>
      <c r="B110" s="6" t="inlineStr">
        <is>
          <t>4.15</t>
        </is>
      </c>
      <c r="C110" s="6" t="inlineStr">
        <is>
          <t>Диспетчерский пульт</t>
        </is>
      </c>
      <c r="D110" s="6" t="inlineStr">
        <is>
          <t>LDP-E12-ВМ (Линсис)</t>
        </is>
      </c>
      <c r="E110" s="6" t="n">
        <v>1</v>
      </c>
      <c r="F110" s="6" t="inlineStr">
        <is>
          <t>-</t>
        </is>
      </c>
      <c r="G110" s="6" t="inlineStr">
        <is>
          <t>-</t>
        </is>
      </c>
      <c r="H110" s="6" t="n"/>
    </row>
    <row r="111">
      <c r="A111" s="6" t="inlineStr">
        <is>
          <t>3121 СС</t>
        </is>
      </c>
      <c r="B111" s="6" t="inlineStr">
        <is>
          <t>5.1</t>
        </is>
      </c>
      <c r="C111" s="6" t="inlineStr">
        <is>
          <t>DECT-менеджер IP-DECT</t>
        </is>
      </c>
      <c r="D111" s="6" t="n"/>
      <c r="E111" s="6" t="n">
        <v>1</v>
      </c>
      <c r="F111" s="6" t="inlineStr">
        <is>
          <t>-</t>
        </is>
      </c>
      <c r="G111" s="6" t="inlineStr">
        <is>
          <t>-</t>
        </is>
      </c>
      <c r="H111" s="6" t="n"/>
    </row>
    <row r="112">
      <c r="A112" s="6" t="inlineStr">
        <is>
          <t>3121 СС</t>
        </is>
      </c>
      <c r="B112" s="6" t="inlineStr">
        <is>
          <t>5.2</t>
        </is>
      </c>
      <c r="C112" s="6" t="inlineStr">
        <is>
          <t>Базовая станция IP-DECT</t>
        </is>
      </c>
      <c r="D112" s="6" t="n"/>
      <c r="E112" s="6" t="n">
        <v>14</v>
      </c>
      <c r="F112" s="6" t="inlineStr">
        <is>
          <t>-</t>
        </is>
      </c>
      <c r="G112" s="6" t="inlineStr">
        <is>
          <t>-</t>
        </is>
      </c>
      <c r="H112" s="6" t="n"/>
    </row>
    <row r="113">
      <c r="A113" s="6" t="inlineStr">
        <is>
          <t>3121 СС</t>
        </is>
      </c>
      <c r="B113" s="6" t="inlineStr">
        <is>
          <t>5.3</t>
        </is>
      </c>
      <c r="C113" s="6" t="inlineStr">
        <is>
          <t>Термошкаф для базовых DECT-станций IP55</t>
        </is>
      </c>
      <c r="D113" s="6" t="n"/>
      <c r="E113" s="6" t="n">
        <v>6</v>
      </c>
      <c r="F113" s="6" t="inlineStr">
        <is>
          <t>-</t>
        </is>
      </c>
      <c r="G113" s="6" t="inlineStr">
        <is>
          <t>-</t>
        </is>
      </c>
      <c r="H113" s="6" t="n"/>
    </row>
    <row r="114" ht="26.4" customHeight="1" s="19">
      <c r="A114" s="6" t="inlineStr">
        <is>
          <t>3121 СС</t>
        </is>
      </c>
      <c r="B114" s="6" t="inlineStr">
        <is>
          <t>6.1</t>
        </is>
      </c>
      <c r="C114" s="6" t="inlineStr">
        <is>
          <t>Контроллер системы мониторинга телеком. стоек (СМСТ)</t>
        </is>
      </c>
      <c r="D114" s="6" t="n"/>
      <c r="E114" s="6" t="n">
        <v>1</v>
      </c>
      <c r="F114" s="6" t="inlineStr">
        <is>
          <t>-</t>
        </is>
      </c>
      <c r="G114" s="6" t="inlineStr">
        <is>
          <t>-</t>
        </is>
      </c>
      <c r="H114" s="6" t="n"/>
    </row>
    <row r="115">
      <c r="A115" s="6" t="inlineStr">
        <is>
          <t>3121 ОС</t>
        </is>
      </c>
      <c r="B115" s="6" t="inlineStr">
        <is>
          <t>1.1</t>
        </is>
      </c>
      <c r="C115" s="6" t="inlineStr">
        <is>
          <t>Шкаф телекоммуникационный 42U 19"</t>
        </is>
      </c>
      <c r="D115" s="6" t="inlineStr">
        <is>
          <t>ШТК-Э-42.8.8-13АА (ЦМО)</t>
        </is>
      </c>
      <c r="E115" s="6" t="n">
        <v>1</v>
      </c>
      <c r="F115" s="6" t="inlineStr">
        <is>
          <t>1828</t>
        </is>
      </c>
      <c r="G115" s="6" t="inlineStr">
        <is>
          <t>-</t>
        </is>
      </c>
      <c r="H115" s="6" t="n"/>
    </row>
    <row r="116">
      <c r="A116" s="6" t="inlineStr">
        <is>
          <t>3121 ОС</t>
        </is>
      </c>
      <c r="B116" s="6" t="inlineStr">
        <is>
          <t>1.7</t>
        </is>
      </c>
      <c r="C116" s="6" t="inlineStr">
        <is>
          <t>Коммутатор 24×1G + 4×10G SFP+, PoE</t>
        </is>
      </c>
      <c r="D116" s="6" t="inlineStr">
        <is>
          <t>S4330-30TXP (Maipu)</t>
        </is>
      </c>
      <c r="E116" s="6" t="n">
        <v>1</v>
      </c>
      <c r="F116" s="6" t="inlineStr">
        <is>
          <t>-</t>
        </is>
      </c>
      <c r="G116" s="6" t="inlineStr">
        <is>
          <t>-</t>
        </is>
      </c>
      <c r="H116" s="6" t="n"/>
    </row>
    <row r="117">
      <c r="A117" s="6" t="inlineStr">
        <is>
          <t>3121 ОС</t>
        </is>
      </c>
      <c r="B117" s="6" t="inlineStr">
        <is>
          <t>1.11</t>
        </is>
      </c>
      <c r="C117" s="6" t="inlineStr">
        <is>
          <t>Батарейный блок ИБП</t>
        </is>
      </c>
      <c r="D117" s="6" t="inlineStr">
        <is>
          <t>BMRT-72-18 (Штиль)</t>
        </is>
      </c>
      <c r="E117" s="6" t="n">
        <v>1</v>
      </c>
      <c r="F117" s="6" t="inlineStr">
        <is>
          <t>-</t>
        </is>
      </c>
      <c r="G117" s="6" t="inlineStr">
        <is>
          <t>-</t>
        </is>
      </c>
      <c r="H117" s="6" t="n"/>
    </row>
    <row r="118">
      <c r="A118" s="6" t="inlineStr">
        <is>
          <t>3121 ОС</t>
        </is>
      </c>
      <c r="B118" s="6" t="inlineStr">
        <is>
          <t>1.14 3121-VC-009…017</t>
        </is>
      </c>
      <c r="C118" s="6" t="inlineStr">
        <is>
          <t>IP-видеокамера уличная вариофокальная</t>
        </is>
      </c>
      <c r="D118" s="6" t="inlineStr">
        <is>
          <t>IPTS-IPBM5002 (IPTRONIC)</t>
        </is>
      </c>
      <c r="E118" s="6" t="n">
        <v>9</v>
      </c>
      <c r="F118" s="6" t="inlineStr">
        <is>
          <t>-</t>
        </is>
      </c>
      <c r="G118" s="6" t="inlineStr">
        <is>
          <t>-</t>
        </is>
      </c>
      <c r="H118" s="6" t="n"/>
    </row>
    <row r="119">
      <c r="A119" s="6" t="inlineStr">
        <is>
          <t>3121 ОС</t>
        </is>
      </c>
      <c r="B119" s="6" t="inlineStr">
        <is>
          <t>1.15 3121-VC-001…008</t>
        </is>
      </c>
      <c r="C119" s="6" t="inlineStr">
        <is>
          <t>IP-видеокамера уличная вариофокальная</t>
        </is>
      </c>
      <c r="D119" s="6" t="inlineStr">
        <is>
          <t>IPTS-IPBM5035 (IPTRONIC)</t>
        </is>
      </c>
      <c r="E119" s="6" t="n">
        <v>8</v>
      </c>
      <c r="F119" s="6" t="inlineStr">
        <is>
          <t>-</t>
        </is>
      </c>
      <c r="G119" s="6" t="inlineStr">
        <is>
          <t>-</t>
        </is>
      </c>
      <c r="H119" s="6" t="n"/>
    </row>
    <row r="120">
      <c r="A120" s="6" t="inlineStr">
        <is>
          <t>3121 ОС</t>
        </is>
      </c>
      <c r="B120" s="6" t="inlineStr">
        <is>
          <t>4.2</t>
        </is>
      </c>
      <c r="C120" s="6" t="inlineStr">
        <is>
          <t>Преобразователь интерфейса</t>
        </is>
      </c>
      <c r="D120" s="6" t="inlineStr">
        <is>
          <t>С2000-Ethernet (Болид)</t>
        </is>
      </c>
      <c r="E120" s="6" t="n">
        <v>1</v>
      </c>
      <c r="F120" s="6" t="inlineStr">
        <is>
          <t>-</t>
        </is>
      </c>
      <c r="G120" s="6" t="inlineStr">
        <is>
          <t>-</t>
        </is>
      </c>
      <c r="H120" s="6" t="n"/>
    </row>
    <row r="121">
      <c r="A121" s="6" t="inlineStr">
        <is>
          <t>3121 ОС</t>
        </is>
      </c>
      <c r="B121" s="6" t="inlineStr">
        <is>
          <t>4.3</t>
        </is>
      </c>
      <c r="C121" s="6" t="inlineStr">
        <is>
          <t>Резервированный источник питания 12 В</t>
        </is>
      </c>
      <c r="D121" s="6" t="inlineStr">
        <is>
          <t>РИП-12-3/17П1-Р-RS (Болид)</t>
        </is>
      </c>
      <c r="E121" s="6" t="n">
        <v>1</v>
      </c>
      <c r="F121" s="6" t="inlineStr">
        <is>
          <t>-</t>
        </is>
      </c>
      <c r="G121" s="6" t="inlineStr">
        <is>
          <t>-</t>
        </is>
      </c>
      <c r="H121" s="6" t="n"/>
    </row>
    <row r="122">
      <c r="A122" s="6" t="inlineStr">
        <is>
          <t>3121 ОС</t>
        </is>
      </c>
      <c r="B122" s="6" t="inlineStr">
        <is>
          <t>4.4</t>
        </is>
      </c>
      <c r="C122" s="6" t="inlineStr">
        <is>
          <t>АКБ 12 В 17 Ач</t>
        </is>
      </c>
      <c r="D122" s="6" t="inlineStr">
        <is>
          <t>DTM1217 (Delta)</t>
        </is>
      </c>
      <c r="E122" s="6" t="n">
        <v>2</v>
      </c>
      <c r="F122" s="6" t="inlineStr">
        <is>
          <t>-</t>
        </is>
      </c>
      <c r="G122" s="6" t="inlineStr">
        <is>
          <t>-</t>
        </is>
      </c>
      <c r="H122" s="6" t="n"/>
    </row>
    <row r="123" ht="26.4" customHeight="1" s="19">
      <c r="A123" s="6" t="inlineStr">
        <is>
          <t>3121 ОС</t>
        </is>
      </c>
      <c r="B123" s="6" t="inlineStr">
        <is>
          <t>4.5</t>
        </is>
      </c>
      <c r="C123" s="6" t="inlineStr">
        <is>
          <t>Извещатель охранный магнитоконтактный адресный</t>
        </is>
      </c>
      <c r="D123" s="6" t="inlineStr">
        <is>
          <t>С2000-СМК исп.06</t>
        </is>
      </c>
      <c r="E123" s="6" t="n">
        <v>15</v>
      </c>
      <c r="F123" s="6" t="inlineStr">
        <is>
          <t>-</t>
        </is>
      </c>
      <c r="G123" s="6" t="inlineStr">
        <is>
          <t>-</t>
        </is>
      </c>
      <c r="H123" s="6" t="n"/>
    </row>
    <row r="124">
      <c r="A124" s="6" t="inlineStr">
        <is>
          <t>3121 ОС</t>
        </is>
      </c>
      <c r="B124" s="6" t="inlineStr">
        <is>
          <t>4.6</t>
        </is>
      </c>
      <c r="C124" s="6" t="inlineStr">
        <is>
          <t>Адресный расширитель</t>
        </is>
      </c>
      <c r="D124" s="6" t="inlineStr">
        <is>
          <t>С2000-АР1 исп.01</t>
        </is>
      </c>
      <c r="E124" s="6" t="n">
        <v>15</v>
      </c>
      <c r="F124" s="6" t="inlineStr">
        <is>
          <t>-</t>
        </is>
      </c>
      <c r="G124" s="6" t="inlineStr">
        <is>
          <t>-</t>
        </is>
      </c>
      <c r="H124" s="6" t="n"/>
    </row>
    <row r="125">
      <c r="A125" s="6" t="inlineStr">
        <is>
          <t>3121 ОС</t>
        </is>
      </c>
      <c r="B125" s="6" t="inlineStr">
        <is>
          <t>4.7</t>
        </is>
      </c>
      <c r="C125" s="6" t="inlineStr">
        <is>
          <t>Извещатель охранный объёмный ИК адресный</t>
        </is>
      </c>
      <c r="D125" s="6" t="inlineStr">
        <is>
          <t>С2000-ИК исп.02</t>
        </is>
      </c>
      <c r="E125" s="6" t="n">
        <v>16</v>
      </c>
      <c r="F125" s="6" t="inlineStr">
        <is>
          <t>-</t>
        </is>
      </c>
      <c r="G125" s="6" t="inlineStr">
        <is>
          <t>-</t>
        </is>
      </c>
      <c r="H125" s="6" t="n"/>
    </row>
    <row r="126">
      <c r="A126" s="6" t="inlineStr">
        <is>
          <t>3121 ОС</t>
        </is>
      </c>
      <c r="B126" s="6" t="inlineStr">
        <is>
          <t>4.8</t>
        </is>
      </c>
      <c r="C126" s="6" t="inlineStr">
        <is>
          <t>Тревожная кнопка</t>
        </is>
      </c>
      <c r="D126" s="6" t="inlineStr">
        <is>
          <t>С2000-КТ</t>
        </is>
      </c>
      <c r="E126" s="6" t="n">
        <v>1</v>
      </c>
      <c r="F126" s="6" t="inlineStr">
        <is>
          <t>-</t>
        </is>
      </c>
      <c r="G126" s="6" t="inlineStr">
        <is>
          <t>-</t>
        </is>
      </c>
      <c r="H126" s="6" t="n"/>
    </row>
    <row r="127">
      <c r="A127" s="6" t="inlineStr">
        <is>
          <t>3121 ОС</t>
        </is>
      </c>
      <c r="B127" s="6" t="inlineStr">
        <is>
          <t>4.9</t>
        </is>
      </c>
      <c r="C127" s="6" t="inlineStr">
        <is>
          <t>Оповещатель свето-звуковой</t>
        </is>
      </c>
      <c r="D127" s="6" t="inlineStr">
        <is>
          <t>ОРБИТА ОП СЗ</t>
        </is>
      </c>
      <c r="E127" s="6" t="n">
        <v>1</v>
      </c>
      <c r="F127" s="6" t="inlineStr">
        <is>
          <t>-</t>
        </is>
      </c>
      <c r="G127" s="6" t="inlineStr">
        <is>
          <t>-</t>
        </is>
      </c>
      <c r="H127" s="6" t="n"/>
    </row>
    <row r="128">
      <c r="A128" s="6" t="inlineStr">
        <is>
          <t>3121 СКУД</t>
        </is>
      </c>
      <c r="B128" s="6" t="inlineStr">
        <is>
          <t>1.1</t>
        </is>
      </c>
      <c r="C128" s="6" t="inlineStr">
        <is>
          <t>Контроллер сетевой (8 Wiegand)</t>
        </is>
      </c>
      <c r="D128" s="6" t="inlineStr">
        <is>
          <t>AAM-LAN-8W/2RS</t>
        </is>
      </c>
      <c r="E128" s="6" t="n">
        <v>2</v>
      </c>
      <c r="F128" s="6" t="inlineStr">
        <is>
          <t>-</t>
        </is>
      </c>
      <c r="G128" s="6" t="inlineStr">
        <is>
          <t>-</t>
        </is>
      </c>
      <c r="H128" s="6" t="n"/>
    </row>
    <row r="129">
      <c r="A129" s="6" t="inlineStr">
        <is>
          <t>3121 СКУД</t>
        </is>
      </c>
      <c r="B129" s="6" t="inlineStr">
        <is>
          <t>1.3</t>
        </is>
      </c>
      <c r="C129" s="6" t="inlineStr">
        <is>
          <t>Источник вторичного электропитания 12 В 6 А</t>
        </is>
      </c>
      <c r="D129" s="6" t="inlineStr">
        <is>
          <t>РИП-12-6/80М3-Р-RS (Болид)</t>
        </is>
      </c>
      <c r="E129" s="6" t="n">
        <v>1</v>
      </c>
      <c r="F129" s="6" t="inlineStr">
        <is>
          <t>-</t>
        </is>
      </c>
      <c r="G129" s="6" t="inlineStr">
        <is>
          <t>-</t>
        </is>
      </c>
      <c r="H129" s="6" t="n"/>
    </row>
    <row r="130">
      <c r="A130" s="6" t="inlineStr">
        <is>
          <t>3121 СКУД</t>
        </is>
      </c>
      <c r="B130" s="6" t="inlineStr">
        <is>
          <t>1.2, 1.4</t>
        </is>
      </c>
      <c r="C130" s="6" t="inlineStr">
        <is>
          <t>АКБ 12 В 4,5 Ач / 40 Ач</t>
        </is>
      </c>
      <c r="D130" s="6" t="inlineStr">
        <is>
          <t>DTM12045 / DTM1240 L (Delta)</t>
        </is>
      </c>
      <c r="E130" s="6" t="n">
        <v>4</v>
      </c>
      <c r="F130" s="6" t="inlineStr">
        <is>
          <t>-</t>
        </is>
      </c>
      <c r="G130" s="6" t="inlineStr">
        <is>
          <t>-</t>
        </is>
      </c>
      <c r="H130" s="6" t="inlineStr">
        <is>
          <t>по 2 шт каждого</t>
        </is>
      </c>
    </row>
    <row r="131">
      <c r="A131" s="6" t="inlineStr">
        <is>
          <t>3121 СКУД</t>
        </is>
      </c>
      <c r="B131" s="6" t="inlineStr">
        <is>
          <t>1.5</t>
        </is>
      </c>
      <c r="C131" s="6" t="inlineStr">
        <is>
          <t>Считыватель MIFARE</t>
        </is>
      </c>
      <c r="D131" s="6" t="inlineStr">
        <is>
          <t>ST-PR042MF (Smartec)</t>
        </is>
      </c>
      <c r="E131" s="6" t="n">
        <v>12</v>
      </c>
      <c r="F131" s="6" t="inlineStr">
        <is>
          <t>-</t>
        </is>
      </c>
      <c r="G131" s="6" t="inlineStr">
        <is>
          <t>-</t>
        </is>
      </c>
      <c r="H131" s="6" t="n"/>
    </row>
    <row r="132">
      <c r="A132" s="6" t="inlineStr">
        <is>
          <t>3121 СКУД</t>
        </is>
      </c>
      <c r="B132" s="6" t="inlineStr">
        <is>
          <t>1.6</t>
        </is>
      </c>
      <c r="C132" s="6" t="inlineStr">
        <is>
          <t>Извещатель магнитоконтактный</t>
        </is>
      </c>
      <c r="D132" s="6" t="inlineStr">
        <is>
          <t>ST-DM130NC-SL</t>
        </is>
      </c>
      <c r="E132" s="6" t="n">
        <v>12</v>
      </c>
      <c r="F132" s="6" t="inlineStr">
        <is>
          <t>-</t>
        </is>
      </c>
      <c r="G132" s="6" t="inlineStr">
        <is>
          <t>-</t>
        </is>
      </c>
      <c r="H132" s="6" t="n"/>
    </row>
    <row r="133">
      <c r="A133" s="6" t="inlineStr">
        <is>
          <t>3121 СКУД</t>
        </is>
      </c>
      <c r="B133" s="6" t="inlineStr">
        <is>
          <t>1.7</t>
        </is>
      </c>
      <c r="C133" s="6" t="inlineStr">
        <is>
          <t>Кнопка выхода</t>
        </is>
      </c>
      <c r="D133" s="6" t="inlineStr">
        <is>
          <t>ST-EX241L</t>
        </is>
      </c>
      <c r="E133" s="6" t="n">
        <v>12</v>
      </c>
      <c r="F133" s="6" t="inlineStr">
        <is>
          <t>-</t>
        </is>
      </c>
      <c r="G133" s="6" t="inlineStr">
        <is>
          <t>-</t>
        </is>
      </c>
      <c r="H133" s="6" t="n"/>
    </row>
    <row r="134">
      <c r="A134" s="6" t="inlineStr">
        <is>
          <t>3121 СКУД</t>
        </is>
      </c>
      <c r="B134" s="6" t="inlineStr">
        <is>
          <t>1.8</t>
        </is>
      </c>
      <c r="C134" s="6" t="inlineStr">
        <is>
          <t>Электромагнитный замок 250 кг</t>
        </is>
      </c>
      <c r="D134" s="6" t="inlineStr">
        <is>
          <t>ST-EL250ML</t>
        </is>
      </c>
      <c r="E134" s="6" t="n">
        <v>12</v>
      </c>
      <c r="F134" s="6" t="inlineStr">
        <is>
          <t>-</t>
        </is>
      </c>
      <c r="G134" s="6" t="inlineStr">
        <is>
          <t>-</t>
        </is>
      </c>
      <c r="H134" s="6" t="n"/>
    </row>
    <row r="135">
      <c r="A135" s="6" t="inlineStr">
        <is>
          <t>3121 СКУД</t>
        </is>
      </c>
      <c r="B135" s="6" t="inlineStr">
        <is>
          <t>1.9</t>
        </is>
      </c>
      <c r="C135" s="6" t="inlineStr">
        <is>
          <t>Дверной доводчик</t>
        </is>
      </c>
      <c r="D135" s="6" t="inlineStr">
        <is>
          <t>ST-DC036BCDA-SL</t>
        </is>
      </c>
      <c r="E135" s="6" t="n">
        <v>12</v>
      </c>
      <c r="F135" s="6" t="inlineStr">
        <is>
          <t>-</t>
        </is>
      </c>
      <c r="G135" s="6" t="inlineStr">
        <is>
          <t>-</t>
        </is>
      </c>
      <c r="H135" s="6" t="n"/>
    </row>
    <row r="136" ht="26.4" customHeight="1" s="19">
      <c r="A136" s="6" t="inlineStr">
        <is>
          <t>3121 СКУД</t>
        </is>
      </c>
      <c r="B136" s="6" t="inlineStr">
        <is>
          <t>1.10</t>
        </is>
      </c>
      <c r="C136" s="6" t="inlineStr">
        <is>
          <t>Устройство дистанционного пуска «Аварийный выход»</t>
        </is>
      </c>
      <c r="D136" s="6" t="inlineStr">
        <is>
          <t>ST-ER115</t>
        </is>
      </c>
      <c r="E136" s="6" t="n">
        <v>12</v>
      </c>
      <c r="F136" s="6" t="inlineStr">
        <is>
          <t>-</t>
        </is>
      </c>
      <c r="G136" s="6" t="inlineStr">
        <is>
          <t>-</t>
        </is>
      </c>
      <c r="H136" s="6" t="n"/>
    </row>
    <row r="137">
      <c r="A137" s="6" t="inlineStr">
        <is>
          <t>3121 СКУД</t>
        </is>
      </c>
      <c r="B137" s="6" t="inlineStr">
        <is>
          <t>1.11</t>
        </is>
      </c>
      <c r="C137" s="6" t="inlineStr">
        <is>
          <t>Модуль релейный (АЛС)</t>
        </is>
      </c>
      <c r="D137" s="6" t="n"/>
      <c r="E137" s="6" t="n">
        <v>12</v>
      </c>
      <c r="F137" s="6" t="inlineStr">
        <is>
          <t>-</t>
        </is>
      </c>
      <c r="G137" s="6" t="inlineStr">
        <is>
          <t>-</t>
        </is>
      </c>
      <c r="H137" s="6" t="inlineStr">
        <is>
          <t>Предусмотрен в 03-91-1201-01-ПС</t>
        </is>
      </c>
    </row>
    <row r="138" ht="26.4" customHeight="1" s="19">
      <c r="A138" s="6" t="inlineStr">
        <is>
          <t>3121 ПС</t>
        </is>
      </c>
      <c r="B138" s="6" t="inlineStr">
        <is>
          <t>1.1</t>
        </is>
      </c>
      <c r="C138" s="6" t="inlineStr">
        <is>
          <t>Прибор приёмно-контрольный охранно-пожарный</t>
        </is>
      </c>
      <c r="D138" s="6" t="inlineStr">
        <is>
          <t>R3-Рубеж-2ОП</t>
        </is>
      </c>
      <c r="E138" s="6" t="n">
        <v>1</v>
      </c>
      <c r="F138" s="6" t="inlineStr">
        <is>
          <t>-</t>
        </is>
      </c>
      <c r="G138" s="6" t="inlineStr">
        <is>
          <t>782-3121-ПС-ВК-ЧНД</t>
        </is>
      </c>
      <c r="H138" s="6" t="inlineStr">
        <is>
          <t>АоРПИ 782 без зав. №; в 2.Open не загружен (лежит в Базе данных Альфа-пром)</t>
        </is>
      </c>
    </row>
    <row r="139">
      <c r="A139" s="6" t="inlineStr">
        <is>
          <t>3121 ПС</t>
        </is>
      </c>
      <c r="B139" s="6" t="inlineStr">
        <is>
          <t>1.2</t>
        </is>
      </c>
      <c r="C139" s="6" t="inlineStr">
        <is>
          <t>Блок индикации и управления</t>
        </is>
      </c>
      <c r="D139" s="6" t="inlineStr">
        <is>
          <t>Рубеж-БИУ</t>
        </is>
      </c>
      <c r="E139" s="6" t="n">
        <v>1</v>
      </c>
      <c r="F139" s="6" t="inlineStr">
        <is>
          <t>-</t>
        </is>
      </c>
      <c r="G139" s="6" t="inlineStr">
        <is>
          <t>782-3121-ПС-ВК-ЧНД</t>
        </is>
      </c>
      <c r="H139" s="6" t="n"/>
    </row>
    <row r="140">
      <c r="A140" s="6" t="inlineStr">
        <is>
          <t>3121 ПС</t>
        </is>
      </c>
      <c r="B140" s="6" t="inlineStr">
        <is>
          <t>1.3</t>
        </is>
      </c>
      <c r="C140" s="6" t="inlineStr">
        <is>
          <t>Модуль изолятор АЛС</t>
        </is>
      </c>
      <c r="D140" s="6" t="inlineStr">
        <is>
          <t>ИЗ-1-R3</t>
        </is>
      </c>
      <c r="E140" s="6" t="n">
        <v>14</v>
      </c>
      <c r="F140" s="6" t="inlineStr">
        <is>
          <t>-</t>
        </is>
      </c>
      <c r="G140" s="6" t="inlineStr">
        <is>
          <t>782-3121-ПС-ВК-ЧНД</t>
        </is>
      </c>
      <c r="H140" s="6" t="n"/>
    </row>
    <row r="141">
      <c r="A141" s="6" t="inlineStr">
        <is>
          <t>3121 ПС</t>
        </is>
      </c>
      <c r="B141" s="6" t="inlineStr">
        <is>
          <t>1.4</t>
        </is>
      </c>
      <c r="C141" s="6" t="inlineStr">
        <is>
          <t>ИВЭПР 24 В 3,5 А</t>
        </is>
      </c>
      <c r="D141" s="6" t="inlineStr">
        <is>
          <t>ИВЭПР 24/3,5 2х12-Р БР</t>
        </is>
      </c>
      <c r="E141" s="6" t="n">
        <v>1</v>
      </c>
      <c r="F141" s="6" t="inlineStr">
        <is>
          <t>-</t>
        </is>
      </c>
      <c r="G141" s="6" t="inlineStr">
        <is>
          <t>782-3121-ПС-ВК-ЧНД</t>
        </is>
      </c>
      <c r="H141" s="6" t="n"/>
    </row>
    <row r="142">
      <c r="A142" s="6" t="inlineStr">
        <is>
          <t>3121 ПС</t>
        </is>
      </c>
      <c r="B142" s="6" t="inlineStr">
        <is>
          <t>1.5</t>
        </is>
      </c>
      <c r="C142" s="6" t="inlineStr">
        <is>
          <t>АКБ 12 В 12 Ач</t>
        </is>
      </c>
      <c r="D142" s="6" t="inlineStr">
        <is>
          <t>DT 1212</t>
        </is>
      </c>
      <c r="E142" s="6" t="n">
        <v>2</v>
      </c>
      <c r="F142" s="6" t="inlineStr">
        <is>
          <t>-</t>
        </is>
      </c>
      <c r="G142" s="6" t="inlineStr">
        <is>
          <t>782-3121-ПС-ВК-ЧНД</t>
        </is>
      </c>
      <c r="H142" s="6" t="n"/>
    </row>
    <row r="143">
      <c r="A143" s="6" t="inlineStr">
        <is>
          <t>3121 ПС</t>
        </is>
      </c>
      <c r="B143" s="6" t="inlineStr">
        <is>
          <t>1.6</t>
        </is>
      </c>
      <c r="C143" s="6" t="inlineStr">
        <is>
          <t>Извещатель пожарный дымовой адресный</t>
        </is>
      </c>
      <c r="D143" s="6" t="inlineStr">
        <is>
          <t>ИП 212-164-R3</t>
        </is>
      </c>
      <c r="E143" s="6" t="n">
        <v>54</v>
      </c>
      <c r="F143" s="6" t="inlineStr">
        <is>
          <t>-</t>
        </is>
      </c>
      <c r="G143" s="6" t="inlineStr">
        <is>
          <t>782-3121-ПС-ВК-ЧНД</t>
        </is>
      </c>
      <c r="H143" s="6" t="n"/>
    </row>
    <row r="144">
      <c r="A144" s="6" t="inlineStr">
        <is>
          <t>3121 ПС</t>
        </is>
      </c>
      <c r="B144" s="6" t="inlineStr">
        <is>
          <t>1.7</t>
        </is>
      </c>
      <c r="C144" s="6" t="inlineStr">
        <is>
          <t>Извещатель пожарный пламени адресный</t>
        </is>
      </c>
      <c r="D144" s="6" t="inlineStr">
        <is>
          <t>ТЮЛЬПАН 64/2-R3</t>
        </is>
      </c>
      <c r="E144" s="6" t="n">
        <v>17</v>
      </c>
      <c r="F144" s="6" t="inlineStr">
        <is>
          <t>-</t>
        </is>
      </c>
      <c r="G144" s="6" t="inlineStr">
        <is>
          <t>782-3121-ПС-ВК-ЧНД</t>
        </is>
      </c>
      <c r="H144" s="6" t="n"/>
    </row>
    <row r="145">
      <c r="A145" s="6" t="inlineStr">
        <is>
          <t>3121 ПС</t>
        </is>
      </c>
      <c r="B145" s="6" t="inlineStr">
        <is>
          <t>1.8</t>
        </is>
      </c>
      <c r="C145" s="6" t="inlineStr">
        <is>
          <t>Извещатель пожарный ручной адресный</t>
        </is>
      </c>
      <c r="D145" s="6" t="inlineStr">
        <is>
          <t>ИПР 513-11-А-R3</t>
        </is>
      </c>
      <c r="E145" s="6" t="n">
        <v>7</v>
      </c>
      <c r="F145" s="6" t="inlineStr">
        <is>
          <t>-</t>
        </is>
      </c>
      <c r="G145" s="6" t="inlineStr">
        <is>
          <t>782-3121-ПС-ВК-ЧНД</t>
        </is>
      </c>
      <c r="H145" s="6" t="n"/>
    </row>
    <row r="146">
      <c r="A146" s="6" t="inlineStr">
        <is>
          <t>3121 ПС</t>
        </is>
      </c>
      <c r="B146" s="6" t="inlineStr">
        <is>
          <t>1.9</t>
        </is>
      </c>
      <c r="C146" s="6" t="inlineStr">
        <is>
          <t>Табло «Выход»</t>
        </is>
      </c>
      <c r="D146" s="6" t="inlineStr">
        <is>
          <t>ОПОП 1-R3</t>
        </is>
      </c>
      <c r="E146" s="6" t="n">
        <v>9</v>
      </c>
      <c r="F146" s="6" t="inlineStr">
        <is>
          <t>-</t>
        </is>
      </c>
      <c r="G146" s="6" t="inlineStr">
        <is>
          <t>782-3121-ПС-ВК-ЧНД</t>
        </is>
      </c>
      <c r="H146" s="6" t="n"/>
    </row>
    <row r="147">
      <c r="A147" s="6" t="inlineStr">
        <is>
          <t>3121 ПС</t>
        </is>
      </c>
      <c r="B147" s="6" t="inlineStr">
        <is>
          <t>1.10</t>
        </is>
      </c>
      <c r="C147" s="6" t="inlineStr">
        <is>
          <t>Оповещатель свето-звуковой</t>
        </is>
      </c>
      <c r="D147" s="6" t="inlineStr">
        <is>
          <t>ОПОП 124-R3</t>
        </is>
      </c>
      <c r="E147" s="6" t="n">
        <v>32</v>
      </c>
      <c r="F147" s="6" t="inlineStr">
        <is>
          <t>-</t>
        </is>
      </c>
      <c r="G147" s="6" t="inlineStr">
        <is>
          <t>782-3121-ПС-ВК-ЧНД</t>
        </is>
      </c>
      <c r="H147" s="6" t="n"/>
    </row>
    <row r="148">
      <c r="A148" s="6" t="inlineStr">
        <is>
          <t>3121 ПС</t>
        </is>
      </c>
      <c r="B148" s="6" t="inlineStr">
        <is>
          <t>1.11</t>
        </is>
      </c>
      <c r="C148" s="6" t="inlineStr">
        <is>
          <t>Извещатель тепловой адресный</t>
        </is>
      </c>
      <c r="D148" s="6" t="inlineStr">
        <is>
          <t>ИП 101-29-PR-R3</t>
        </is>
      </c>
      <c r="E148" s="6" t="n">
        <v>5</v>
      </c>
      <c r="F148" s="6" t="inlineStr">
        <is>
          <t>-</t>
        </is>
      </c>
      <c r="G148" s="6" t="inlineStr">
        <is>
          <t>782-3121-ПС-ВК-ЧНД</t>
        </is>
      </c>
      <c r="H148" s="6" t="n"/>
    </row>
    <row r="149">
      <c r="A149" s="6" t="inlineStr">
        <is>
          <t>3121 ПС</t>
        </is>
      </c>
      <c r="B149" s="6" t="inlineStr">
        <is>
          <t>1.12</t>
        </is>
      </c>
      <c r="C149" s="6" t="inlineStr">
        <is>
          <t>Модуль интерфейсный для термокабеля</t>
        </is>
      </c>
      <c r="D149" s="6" t="inlineStr">
        <is>
          <t>МИП-2И</t>
        </is>
      </c>
      <c r="E149" s="6" t="n">
        <v>1</v>
      </c>
      <c r="F149" s="6" t="inlineStr">
        <is>
          <t>-</t>
        </is>
      </c>
      <c r="G149" s="6" t="inlineStr">
        <is>
          <t>782-3121-ПС-ВК-ЧНД</t>
        </is>
      </c>
      <c r="H149" s="6" t="n"/>
    </row>
    <row r="150">
      <c r="A150" s="6" t="inlineStr">
        <is>
          <t>3121 ПС</t>
        </is>
      </c>
      <c r="B150" s="6" t="inlineStr">
        <is>
          <t>1.14</t>
        </is>
      </c>
      <c r="C150" s="6" t="inlineStr">
        <is>
          <t>Адресная метка АМ-4</t>
        </is>
      </c>
      <c r="D150" s="6" t="inlineStr">
        <is>
          <t>АМ-4-R3</t>
        </is>
      </c>
      <c r="E150" s="6" t="n">
        <v>1</v>
      </c>
      <c r="F150" s="6" t="inlineStr">
        <is>
          <t>-</t>
        </is>
      </c>
      <c r="G150" s="6" t="inlineStr">
        <is>
          <t>782-3121-ПС-ВК-ЧНД</t>
        </is>
      </c>
      <c r="H150" s="6" t="n"/>
    </row>
    <row r="151">
      <c r="A151" s="6" t="inlineStr">
        <is>
          <t>3121 ПС</t>
        </is>
      </c>
      <c r="B151" s="6" t="inlineStr">
        <is>
          <t>1.15</t>
        </is>
      </c>
      <c r="C151" s="6" t="inlineStr">
        <is>
          <t>Адресный релейный модуль</t>
        </is>
      </c>
      <c r="D151" s="6" t="inlineStr">
        <is>
          <t>РМ-2</t>
        </is>
      </c>
      <c r="E151" s="6" t="n">
        <v>12</v>
      </c>
      <c r="F151" s="6" t="inlineStr">
        <is>
          <t>-</t>
        </is>
      </c>
      <c r="G151" s="6" t="inlineStr">
        <is>
          <t>782-3121-ПС-ВК-ЧНД</t>
        </is>
      </c>
      <c r="H151" s="6" t="n"/>
    </row>
    <row r="152" ht="26.4" customHeight="1" s="19">
      <c r="A152" s="6" t="inlineStr">
        <is>
          <t>3121 ПС</t>
        </is>
      </c>
      <c r="B152" s="6" t="inlineStr">
        <is>
          <t>1.13</t>
        </is>
      </c>
      <c r="C152" s="6" t="inlineStr">
        <is>
          <t>Извещатель тепловой линейный (термокабель) 105 °С</t>
        </is>
      </c>
      <c r="D152" s="6" t="inlineStr">
        <is>
          <t>GTSW-105-CP</t>
        </is>
      </c>
      <c r="E152" s="6" t="n">
        <v>60</v>
      </c>
      <c r="F152" s="6" t="inlineStr">
        <is>
          <t>-</t>
        </is>
      </c>
      <c r="G152" s="6" t="inlineStr">
        <is>
          <t>-</t>
        </is>
      </c>
      <c r="H152" s="6" t="n"/>
    </row>
    <row r="153">
      <c r="A153" s="6" t="inlineStr">
        <is>
          <t>3121 АОВ</t>
        </is>
      </c>
      <c r="B153" s="6" t="inlineStr">
        <is>
          <t>03PDS… (13 шт)</t>
        </is>
      </c>
      <c r="C153" s="6" t="inlineStr">
        <is>
          <t>Реле перепада давления 50–500 Па</t>
        </is>
      </c>
      <c r="D153" s="6" t="inlineStr">
        <is>
          <t>606.01001+1001 (TEREN)</t>
        </is>
      </c>
      <c r="E153" s="6" t="n">
        <v>13</v>
      </c>
      <c r="F153" s="6" t="inlineStr">
        <is>
          <t>-</t>
        </is>
      </c>
      <c r="G153" s="6" t="inlineStr">
        <is>
          <t>-</t>
        </is>
      </c>
      <c r="H153" s="6" t="inlineStr">
        <is>
          <t>Приточные установки 03-AHU-3121-01…07</t>
        </is>
      </c>
    </row>
    <row r="154">
      <c r="A154" s="6" t="inlineStr">
        <is>
          <t>3121 АОВ</t>
        </is>
      </c>
      <c r="B154" s="6" t="inlineStr">
        <is>
          <t>03PDS… (13 шт)</t>
        </is>
      </c>
      <c r="C154" s="6" t="inlineStr">
        <is>
          <t>Реле перепада давления 100–1000 Па</t>
        </is>
      </c>
      <c r="D154" s="6" t="inlineStr">
        <is>
          <t>606.02001+1001 (TEREN)</t>
        </is>
      </c>
      <c r="E154" s="6" t="n">
        <v>13</v>
      </c>
      <c r="F154" s="6" t="inlineStr">
        <is>
          <t>-</t>
        </is>
      </c>
      <c r="G154" s="6" t="inlineStr">
        <is>
          <t>-</t>
        </is>
      </c>
      <c r="H154" s="6" t="n"/>
    </row>
    <row r="155">
      <c r="A155" s="6" t="inlineStr">
        <is>
          <t>3121 АОВ</t>
        </is>
      </c>
      <c r="B155" s="6" t="inlineStr">
        <is>
          <t>03TT12521</t>
        </is>
      </c>
      <c r="C155" s="6" t="inlineStr">
        <is>
          <t>Термопреобразователь Pt1000, L=60 мм</t>
        </is>
      </c>
      <c r="D155" s="6" t="inlineStr">
        <is>
          <t>TT3N231 (TEREN)</t>
        </is>
      </c>
      <c r="E155" s="6" t="n">
        <v>1</v>
      </c>
      <c r="F155" s="6" t="inlineStr">
        <is>
          <t>-</t>
        </is>
      </c>
      <c r="G155" s="6" t="inlineStr">
        <is>
          <t>-</t>
        </is>
      </c>
      <c r="H155" s="6" t="n"/>
    </row>
    <row r="156">
      <c r="A156" s="6" t="inlineStr">
        <is>
          <t>3121 АОВ</t>
        </is>
      </c>
      <c r="B156" s="6" t="inlineStr">
        <is>
          <t>03TT12522…12543</t>
        </is>
      </c>
      <c r="C156" s="6" t="inlineStr">
        <is>
          <t>Термопреобразователь Pt1000, L=125 мм</t>
        </is>
      </c>
      <c r="D156" s="6" t="inlineStr">
        <is>
          <t>TT2N-231 (TEREN)</t>
        </is>
      </c>
      <c r="E156" s="6" t="n">
        <v>6</v>
      </c>
      <c r="F156" s="6" t="inlineStr">
        <is>
          <t>-</t>
        </is>
      </c>
      <c r="G156" s="6" t="inlineStr">
        <is>
          <t>-</t>
        </is>
      </c>
      <c r="H156" s="6" t="n"/>
    </row>
    <row r="157">
      <c r="A157" s="6" t="inlineStr">
        <is>
          <t>3121 АОВ</t>
        </is>
      </c>
      <c r="B157" s="6" t="inlineStr">
        <is>
          <t>03LCP12506…12511</t>
        </is>
      </c>
      <c r="C157" s="6" t="inlineStr">
        <is>
          <t>Блок управления ротацией и резервированием</t>
        </is>
      </c>
      <c r="D157" s="6" t="inlineStr">
        <is>
          <t>БУРР-1М</t>
        </is>
      </c>
      <c r="E157" s="6" t="n">
        <v>6</v>
      </c>
      <c r="F157" s="6" t="inlineStr">
        <is>
          <t>-</t>
        </is>
      </c>
      <c r="G157" s="6" t="inlineStr">
        <is>
          <t>-</t>
        </is>
      </c>
      <c r="H157" s="6" t="inlineStr">
        <is>
          <t>HOLD в СО</t>
        </is>
      </c>
    </row>
    <row r="158">
      <c r="A158" s="6" t="inlineStr">
        <is>
          <t>3121 АОВ</t>
        </is>
      </c>
      <c r="B158" s="6" t="inlineStr">
        <is>
          <t>A1</t>
        </is>
      </c>
      <c r="C158" s="6" t="inlineStr">
        <is>
          <t>Блок исполнительный специализированный</t>
        </is>
      </c>
      <c r="D158" s="6" t="inlineStr">
        <is>
          <t>БИС-1М</t>
        </is>
      </c>
      <c r="E158" s="6" t="n">
        <v>6</v>
      </c>
      <c r="F158" s="6" t="inlineStr">
        <is>
          <t>-</t>
        </is>
      </c>
      <c r="G158" s="6" t="inlineStr">
        <is>
          <t>-</t>
        </is>
      </c>
      <c r="H158" s="6" t="inlineStr">
        <is>
          <t>HOLD в СО</t>
        </is>
      </c>
    </row>
    <row r="159" ht="26.4" customHeight="1" s="19">
      <c r="A159" s="6" t="inlineStr">
        <is>
          <t>3121 АОВ</t>
        </is>
      </c>
      <c r="B159" s="6" t="inlineStr">
        <is>
          <t>03LCP12505</t>
        </is>
      </c>
      <c r="C159" s="6" t="inlineStr">
        <is>
          <t>Шкаф управления системами вентиляции и кондиционирования 1600х800х2000</t>
        </is>
      </c>
      <c r="D159" s="6" t="n"/>
      <c r="E159" s="6" t="n">
        <v>1</v>
      </c>
      <c r="F159" s="6" t="inlineStr">
        <is>
          <t>-</t>
        </is>
      </c>
      <c r="G159" s="6" t="inlineStr">
        <is>
          <t>-</t>
        </is>
      </c>
      <c r="H159" s="6" t="n"/>
    </row>
    <row r="160">
      <c r="A160" s="6" t="inlineStr">
        <is>
          <t>3121 АОВ1</t>
        </is>
      </c>
      <c r="B160" s="6" t="inlineStr">
        <is>
          <t>03UG12001</t>
        </is>
      </c>
      <c r="C160" s="6" t="inlineStr">
        <is>
          <t>Источник бесперебойного питания 24 В, 17 Ач</t>
        </is>
      </c>
      <c r="D160" s="6" t="inlineStr">
        <is>
          <t>ИВЭПР 24/2,5 RS-R3 исп. 2x17</t>
        </is>
      </c>
      <c r="E160" s="6" t="n">
        <v>1</v>
      </c>
      <c r="F160" s="6" t="inlineStr">
        <is>
          <t>-</t>
        </is>
      </c>
      <c r="G160" s="6" t="inlineStr">
        <is>
          <t>-</t>
        </is>
      </c>
      <c r="H160" s="6" t="inlineStr">
        <is>
          <t>Количество уточнить по СО</t>
        </is>
      </c>
    </row>
    <row r="161">
      <c r="A161" s="6" t="inlineStr">
        <is>
          <t>3121 АОВ1</t>
        </is>
      </c>
      <c r="B161" s="6" t="inlineStr">
        <is>
          <t>03GB12001…12009</t>
        </is>
      </c>
      <c r="C161" s="6" t="inlineStr">
        <is>
          <t>Бокс резервного электропитания 24 В 40 Ач</t>
        </is>
      </c>
      <c r="D161" s="6" t="inlineStr">
        <is>
          <t>БР24 2×40 (Рубеж)</t>
        </is>
      </c>
      <c r="E161" s="6" t="n">
        <v>9</v>
      </c>
      <c r="F161" s="6" t="inlineStr">
        <is>
          <t>-</t>
        </is>
      </c>
      <c r="G161" s="6" t="inlineStr">
        <is>
          <t>-</t>
        </is>
      </c>
      <c r="H161" s="6" t="n"/>
    </row>
    <row r="162">
      <c r="A162" s="6" t="inlineStr">
        <is>
          <t>3121 АОВ1</t>
        </is>
      </c>
      <c r="B162" s="6" t="inlineStr">
        <is>
          <t>—</t>
        </is>
      </c>
      <c r="C162" s="6" t="inlineStr">
        <is>
          <t>АКБ 40 Ач</t>
        </is>
      </c>
      <c r="D162" s="6" t="n"/>
      <c r="E162" s="6" t="n">
        <v>18</v>
      </c>
      <c r="F162" s="6" t="inlineStr">
        <is>
          <t>-</t>
        </is>
      </c>
      <c r="G162" s="6" t="inlineStr">
        <is>
          <t>-</t>
        </is>
      </c>
      <c r="H162" s="6" t="n"/>
    </row>
    <row r="163">
      <c r="A163" s="6" t="inlineStr">
        <is>
          <t>3121 АОВ1</t>
        </is>
      </c>
      <c r="B163" s="6" t="inlineStr">
        <is>
          <t>03SC12001…12013</t>
        </is>
      </c>
      <c r="C163" s="6" t="inlineStr">
        <is>
          <t>Модуль релейный с контролем цепей</t>
        </is>
      </c>
      <c r="D163" s="6" t="inlineStr">
        <is>
          <t>РМ-1К-R3</t>
        </is>
      </c>
      <c r="E163" s="6" t="n">
        <v>9</v>
      </c>
      <c r="F163" s="6" t="inlineStr">
        <is>
          <t>-</t>
        </is>
      </c>
      <c r="G163" s="6" t="inlineStr">
        <is>
          <t>-</t>
        </is>
      </c>
      <c r="H163" s="6" t="n"/>
    </row>
    <row r="164">
      <c r="A164" s="6" t="inlineStr">
        <is>
          <t>3121 АОВ1</t>
        </is>
      </c>
      <c r="B164" s="6" t="inlineStr">
        <is>
          <t>03MD12001…12051</t>
        </is>
      </c>
      <c r="C164" s="6" t="inlineStr">
        <is>
          <t>Модуль автоматики дымоудаления</t>
        </is>
      </c>
      <c r="D164" s="6" t="inlineStr">
        <is>
          <t>МДУ-1С-R3 исп. 24</t>
        </is>
      </c>
      <c r="E164" s="6" t="n">
        <v>51</v>
      </c>
      <c r="F164" s="6" t="inlineStr">
        <is>
          <t>-</t>
        </is>
      </c>
      <c r="G164" s="6" t="inlineStr">
        <is>
          <t>-</t>
        </is>
      </c>
      <c r="H164" s="6" t="n"/>
    </row>
    <row r="165">
      <c r="A165" s="6" t="inlineStr">
        <is>
          <t>3121 АОВ1</t>
        </is>
      </c>
      <c r="B165" s="6" t="inlineStr">
        <is>
          <t>03FLC12001, 12002</t>
        </is>
      </c>
      <c r="C165" s="6" t="inlineStr">
        <is>
          <t>Шкаф управления вентилятором 7,5 кВт</t>
        </is>
      </c>
      <c r="D165" s="6" t="inlineStr">
        <is>
          <t>ШУВ-7,5-03</t>
        </is>
      </c>
      <c r="E165" s="6" t="n">
        <v>2</v>
      </c>
      <c r="F165" s="6" t="inlineStr">
        <is>
          <t>-</t>
        </is>
      </c>
      <c r="G165" s="6" t="inlineStr">
        <is>
          <t>-</t>
        </is>
      </c>
      <c r="H165" s="6" t="n"/>
    </row>
    <row r="166">
      <c r="A166" s="6" t="inlineStr">
        <is>
          <t>3121 АОВ1</t>
        </is>
      </c>
      <c r="B166" s="6" t="inlineStr">
        <is>
          <t>—</t>
        </is>
      </c>
      <c r="C166" s="6" t="inlineStr">
        <is>
          <t>УДП «Пуск дымоудаления»</t>
        </is>
      </c>
      <c r="D166" s="6" t="inlineStr">
        <is>
          <t>УДП 513-11-R3</t>
        </is>
      </c>
      <c r="E166" s="6" t="n">
        <v>2</v>
      </c>
      <c r="F166" s="6" t="inlineStr">
        <is>
          <t>-</t>
        </is>
      </c>
      <c r="G166" s="6" t="inlineStr">
        <is>
          <t>-</t>
        </is>
      </c>
      <c r="H166" s="6" t="n"/>
    </row>
    <row r="167">
      <c r="A167" s="6" t="inlineStr">
        <is>
          <t>3121 АОВ1</t>
        </is>
      </c>
      <c r="B167" s="6" t="inlineStr">
        <is>
          <t>03AM12002…12006</t>
        </is>
      </c>
      <c r="C167" s="6" t="inlineStr">
        <is>
          <t>Адресная метка</t>
        </is>
      </c>
      <c r="D167" s="6" t="inlineStr">
        <is>
          <t>АМ-1-R3</t>
        </is>
      </c>
      <c r="E167" s="6" t="n">
        <v>5</v>
      </c>
      <c r="F167" s="6" t="inlineStr">
        <is>
          <t>-</t>
        </is>
      </c>
      <c r="G167" s="6" t="inlineStr">
        <is>
          <t>-</t>
        </is>
      </c>
      <c r="H167" s="6" t="n"/>
    </row>
    <row r="168">
      <c r="A168" s="6" t="inlineStr">
        <is>
          <t>3123 СС</t>
        </is>
      </c>
      <c r="B168" s="6" t="inlineStr">
        <is>
          <t>1.1</t>
        </is>
      </c>
      <c r="C168" s="6" t="inlineStr">
        <is>
          <t>Шкаф с уличным коммутатором и ИБП</t>
        </is>
      </c>
      <c r="D168" s="6" t="inlineStr">
        <is>
          <t>PSW-2G8F+Box (TFortis)</t>
        </is>
      </c>
      <c r="E168" s="6" t="n">
        <v>1</v>
      </c>
      <c r="F168" s="6" t="inlineStr">
        <is>
          <t>-</t>
        </is>
      </c>
      <c r="G168" s="6" t="inlineStr">
        <is>
          <t>-</t>
        </is>
      </c>
      <c r="H168" s="6" t="n"/>
    </row>
    <row r="169">
      <c r="A169" s="6" t="inlineStr">
        <is>
          <t>3123 СС</t>
        </is>
      </c>
      <c r="B169" s="6" t="inlineStr">
        <is>
          <t>2.1</t>
        </is>
      </c>
      <c r="C169" s="6" t="inlineStr">
        <is>
          <t>Громкоговоритель настенный 10/5 Вт</t>
        </is>
      </c>
      <c r="D169" s="6" t="inlineStr">
        <is>
          <t>LPA-10W3</t>
        </is>
      </c>
      <c r="E169" s="6" t="n">
        <v>2</v>
      </c>
      <c r="F169" s="6" t="inlineStr">
        <is>
          <t>1576-1</t>
        </is>
      </c>
      <c r="G169" s="6" t="inlineStr">
        <is>
          <t>-</t>
        </is>
      </c>
      <c r="H169" s="6" t="n"/>
    </row>
    <row r="170">
      <c r="A170" s="6" t="inlineStr">
        <is>
          <t>3123 СС</t>
        </is>
      </c>
      <c r="B170" s="6" t="inlineStr">
        <is>
          <t>2.2</t>
        </is>
      </c>
      <c r="C170" s="6" t="inlineStr">
        <is>
          <t>Оповещатель промышленный рупорный 30 Вт</t>
        </is>
      </c>
      <c r="D170" s="6" t="inlineStr">
        <is>
          <t>GL-30</t>
        </is>
      </c>
      <c r="E170" s="6" t="n">
        <v>1</v>
      </c>
      <c r="F170" s="6" t="inlineStr">
        <is>
          <t>1576-1</t>
        </is>
      </c>
      <c r="G170" s="6" t="inlineStr">
        <is>
          <t>-</t>
        </is>
      </c>
      <c r="H170" s="6" t="inlineStr">
        <is>
          <t>По RFI 1576-1 поставлено GL-30 — 4 шт</t>
        </is>
      </c>
    </row>
    <row r="171">
      <c r="A171" s="6" t="inlineStr">
        <is>
          <t>3123 СС</t>
        </is>
      </c>
      <c r="B171" s="6" t="inlineStr">
        <is>
          <t>3.1</t>
        </is>
      </c>
      <c r="C171" s="6" t="inlineStr">
        <is>
          <t>Базовая станция IP-DECT</t>
        </is>
      </c>
      <c r="D171" s="6" t="n"/>
      <c r="E171" s="6" t="n">
        <v>4</v>
      </c>
      <c r="F171" s="6" t="inlineStr">
        <is>
          <t>-</t>
        </is>
      </c>
      <c r="G171" s="6" t="inlineStr">
        <is>
          <t>-</t>
        </is>
      </c>
      <c r="H171" s="6" t="n"/>
    </row>
    <row r="172" ht="26.4" customHeight="1" s="19">
      <c r="A172" s="6" t="inlineStr">
        <is>
          <t>3123 ОС</t>
        </is>
      </c>
      <c r="B172" s="6" t="inlineStr">
        <is>
          <t>1.1 3123-SK-001</t>
        </is>
      </c>
      <c r="C172" s="6" t="inlineStr">
        <is>
          <t>Уличный управляемый коммутатор L2 с PoE и резервным питанием</t>
        </is>
      </c>
      <c r="D172" s="6" t="inlineStr">
        <is>
          <t>PSW-2G8F+UPS-Box (TFortis)</t>
        </is>
      </c>
      <c r="E172" s="6" t="n">
        <v>1</v>
      </c>
      <c r="F172" s="6" t="inlineStr">
        <is>
          <t>-</t>
        </is>
      </c>
      <c r="G172" s="6" t="inlineStr">
        <is>
          <t>783-3123-ПС-ВК-ЧНД</t>
        </is>
      </c>
      <c r="H172" s="6" t="inlineStr">
        <is>
          <t>АоРПИ 783-3123-«ПС» (фактически ОС), без зав. №; в 2.Open не загружен</t>
        </is>
      </c>
    </row>
    <row r="173">
      <c r="A173" s="6" t="inlineStr">
        <is>
          <t>3123 ОС</t>
        </is>
      </c>
      <c r="B173" s="6" t="inlineStr">
        <is>
          <t>—</t>
        </is>
      </c>
      <c r="C173" s="6" t="inlineStr">
        <is>
          <t>IP-видеокамера уличная вариофокальная</t>
        </is>
      </c>
      <c r="D173" s="6" t="inlineStr">
        <is>
          <t>IPTRONIC</t>
        </is>
      </c>
      <c r="E173" s="6" t="n">
        <v>4</v>
      </c>
      <c r="F173" s="6" t="inlineStr">
        <is>
          <t>-</t>
        </is>
      </c>
      <c r="G173" s="6" t="inlineStr">
        <is>
          <t>783-3123-ПС-ВК-ЧНД</t>
        </is>
      </c>
      <c r="H173" s="6" t="inlineStr">
        <is>
          <t>Кол-во по АоРПИ 783</t>
        </is>
      </c>
    </row>
    <row r="174">
      <c r="A174" s="6" t="inlineStr">
        <is>
          <t>3123 ОС</t>
        </is>
      </c>
      <c r="B174" s="6" t="inlineStr">
        <is>
          <t>4.3 3123-AM-001…006</t>
        </is>
      </c>
      <c r="C174" s="6" t="inlineStr">
        <is>
          <t>Адресный расширитель</t>
        </is>
      </c>
      <c r="D174" s="6" t="inlineStr">
        <is>
          <t>С2000-АР1 исп.01</t>
        </is>
      </c>
      <c r="E174" s="6" t="n">
        <v>6</v>
      </c>
      <c r="F174" s="6" t="inlineStr">
        <is>
          <t>-</t>
        </is>
      </c>
      <c r="G174" s="6" t="inlineStr">
        <is>
          <t>-</t>
        </is>
      </c>
      <c r="H174" s="6" t="n"/>
    </row>
    <row r="175">
      <c r="A175" s="6" t="inlineStr">
        <is>
          <t>3123 ОС</t>
        </is>
      </c>
      <c r="B175" s="6" t="inlineStr">
        <is>
          <t>4.5</t>
        </is>
      </c>
      <c r="C175" s="6" t="inlineStr">
        <is>
          <t>АКБ 12 В 17 Ач</t>
        </is>
      </c>
      <c r="D175" s="6" t="inlineStr">
        <is>
          <t>DTM1217</t>
        </is>
      </c>
      <c r="E175" s="6" t="n">
        <v>2</v>
      </c>
      <c r="F175" s="6" t="inlineStr">
        <is>
          <t>-</t>
        </is>
      </c>
      <c r="G175" s="6" t="inlineStr">
        <is>
          <t>-</t>
        </is>
      </c>
      <c r="H175" s="6" t="n"/>
    </row>
    <row r="176">
      <c r="A176" s="6" t="inlineStr">
        <is>
          <t>3123 СКУД</t>
        </is>
      </c>
      <c r="B176" s="6" t="inlineStr">
        <is>
          <t>1.1</t>
        </is>
      </c>
      <c r="C176" s="6" t="inlineStr">
        <is>
          <t>Контроллер сетевой (2 Wiegand)</t>
        </is>
      </c>
      <c r="D176" s="6" t="inlineStr">
        <is>
          <t>AAM-LAN-1W/2RS</t>
        </is>
      </c>
      <c r="E176" s="6" t="n">
        <v>1</v>
      </c>
      <c r="F176" s="6" t="inlineStr">
        <is>
          <t>-</t>
        </is>
      </c>
      <c r="G176" s="6" t="inlineStr">
        <is>
          <t>-</t>
        </is>
      </c>
      <c r="H176" s="6" t="n"/>
    </row>
    <row r="177">
      <c r="A177" s="6" t="inlineStr">
        <is>
          <t>3123 СКУД</t>
        </is>
      </c>
      <c r="B177" s="6" t="inlineStr">
        <is>
          <t>1.3</t>
        </is>
      </c>
      <c r="C177" s="6" t="inlineStr">
        <is>
          <t>Источник вторичного электропитания 12 В</t>
        </is>
      </c>
      <c r="D177" s="6" t="inlineStr">
        <is>
          <t>РИП-12-6/80М3-Р-RS</t>
        </is>
      </c>
      <c r="E177" s="6" t="n">
        <v>1</v>
      </c>
      <c r="F177" s="6" t="inlineStr">
        <is>
          <t>-</t>
        </is>
      </c>
      <c r="G177" s="6" t="inlineStr">
        <is>
          <t>-</t>
        </is>
      </c>
      <c r="H177" s="6" t="n"/>
    </row>
    <row r="178">
      <c r="A178" s="6" t="inlineStr">
        <is>
          <t>3123 СКУД</t>
        </is>
      </c>
      <c r="B178" s="6" t="inlineStr">
        <is>
          <t>1.5</t>
        </is>
      </c>
      <c r="C178" s="6" t="inlineStr">
        <is>
          <t>Считыватель MIFARE</t>
        </is>
      </c>
      <c r="D178" s="6" t="inlineStr">
        <is>
          <t>ST-PR042MF</t>
        </is>
      </c>
      <c r="E178" s="6" t="n">
        <v>2</v>
      </c>
      <c r="F178" s="6" t="inlineStr">
        <is>
          <t>-</t>
        </is>
      </c>
      <c r="G178" s="6" t="inlineStr">
        <is>
          <t>-</t>
        </is>
      </c>
      <c r="H178" s="6" t="n"/>
    </row>
    <row r="179">
      <c r="A179" s="6" t="inlineStr">
        <is>
          <t>3123 СКУД</t>
        </is>
      </c>
      <c r="B179" s="6" t="inlineStr">
        <is>
          <t>1.6</t>
        </is>
      </c>
      <c r="C179" s="6" t="inlineStr">
        <is>
          <t>Извещатель магнитоконтактный</t>
        </is>
      </c>
      <c r="D179" s="6" t="inlineStr">
        <is>
          <t>ST-DM130NC-SL</t>
        </is>
      </c>
      <c r="E179" s="6" t="n">
        <v>2</v>
      </c>
      <c r="F179" s="6" t="inlineStr">
        <is>
          <t>-</t>
        </is>
      </c>
      <c r="G179" s="6" t="inlineStr">
        <is>
          <t>-</t>
        </is>
      </c>
      <c r="H179" s="6" t="n"/>
    </row>
    <row r="180" ht="26.4" customHeight="1" s="19">
      <c r="A180" s="6" t="inlineStr">
        <is>
          <t>3123 СКУД</t>
        </is>
      </c>
      <c r="B180" s="6" t="inlineStr">
        <is>
          <t>1.10</t>
        </is>
      </c>
      <c r="C180" s="6" t="inlineStr">
        <is>
          <t>Устройство дистанционного пуска «Аварийный выход»</t>
        </is>
      </c>
      <c r="D180" s="6" t="inlineStr">
        <is>
          <t>ST-ER115</t>
        </is>
      </c>
      <c r="E180" s="6" t="n">
        <v>2</v>
      </c>
      <c r="F180" s="6" t="inlineStr">
        <is>
          <t>-</t>
        </is>
      </c>
      <c r="G180" s="6" t="inlineStr">
        <is>
          <t>-</t>
        </is>
      </c>
      <c r="H180" s="6" t="n"/>
    </row>
    <row r="181">
      <c r="A181" s="6" t="inlineStr">
        <is>
          <t>3123 СКУД</t>
        </is>
      </c>
      <c r="B181" s="6" t="inlineStr">
        <is>
          <t>1.11</t>
        </is>
      </c>
      <c r="C181" s="6" t="inlineStr">
        <is>
          <t>Модуль релейный (АЛС)</t>
        </is>
      </c>
      <c r="D181" s="6" t="n"/>
      <c r="E181" s="6" t="n">
        <v>2</v>
      </c>
      <c r="F181" s="6" t="inlineStr">
        <is>
          <t>-</t>
        </is>
      </c>
      <c r="G181" s="6" t="inlineStr">
        <is>
          <t>-</t>
        </is>
      </c>
      <c r="H181" s="6" t="n"/>
    </row>
    <row r="182">
      <c r="A182" s="6" t="inlineStr">
        <is>
          <t>3123 ПС</t>
        </is>
      </c>
      <c r="B182" s="6" t="inlineStr">
        <is>
          <t>1.1</t>
        </is>
      </c>
      <c r="C182" s="6" t="inlineStr">
        <is>
          <t>Прибор приёмно-контрольный охранно-пожарный</t>
        </is>
      </c>
      <c r="D182" s="6" t="inlineStr">
        <is>
          <t>R3-Рубеж-2ОП</t>
        </is>
      </c>
      <c r="E182" s="6" t="n">
        <v>1</v>
      </c>
      <c r="F182" s="6" t="inlineStr">
        <is>
          <t>-</t>
        </is>
      </c>
      <c r="G182" s="6" t="inlineStr">
        <is>
          <t>-</t>
        </is>
      </c>
      <c r="H182" s="6" t="n"/>
    </row>
    <row r="183">
      <c r="A183" s="6" t="inlineStr">
        <is>
          <t>3123 ПС</t>
        </is>
      </c>
      <c r="B183" s="6" t="inlineStr">
        <is>
          <t>1.2</t>
        </is>
      </c>
      <c r="C183" s="6" t="inlineStr">
        <is>
          <t>Модуль изолятор АЛС</t>
        </is>
      </c>
      <c r="D183" s="6" t="inlineStr">
        <is>
          <t>ИЗ-1-R3</t>
        </is>
      </c>
      <c r="E183" s="6" t="n">
        <v>2</v>
      </c>
      <c r="F183" s="6" t="inlineStr">
        <is>
          <t>-</t>
        </is>
      </c>
      <c r="G183" s="6" t="inlineStr">
        <is>
          <t>-</t>
        </is>
      </c>
      <c r="H183" s="6" t="n"/>
    </row>
    <row r="184">
      <c r="A184" s="6" t="inlineStr">
        <is>
          <t>3123 ПС</t>
        </is>
      </c>
      <c r="B184" s="6" t="inlineStr">
        <is>
          <t>1.3</t>
        </is>
      </c>
      <c r="C184" s="6" t="inlineStr">
        <is>
          <t>ИВЭПР 24 В 3,5 А</t>
        </is>
      </c>
      <c r="D184" s="6" t="inlineStr">
        <is>
          <t>ИВЭПР 24/3,5 2х12-Р БР</t>
        </is>
      </c>
      <c r="E184" s="6" t="n">
        <v>1</v>
      </c>
      <c r="F184" s="6" t="inlineStr">
        <is>
          <t>-</t>
        </is>
      </c>
      <c r="G184" s="6" t="inlineStr">
        <is>
          <t>-</t>
        </is>
      </c>
      <c r="H184" s="6" t="n"/>
    </row>
    <row r="185">
      <c r="A185" s="6" t="inlineStr">
        <is>
          <t>3123 ПС</t>
        </is>
      </c>
      <c r="B185" s="6" t="inlineStr">
        <is>
          <t>1.4</t>
        </is>
      </c>
      <c r="C185" s="6" t="inlineStr">
        <is>
          <t>АКБ 12 В 12 Ач</t>
        </is>
      </c>
      <c r="D185" s="6" t="inlineStr">
        <is>
          <t>DT 1212</t>
        </is>
      </c>
      <c r="E185" s="6" t="n">
        <v>2</v>
      </c>
      <c r="F185" s="6" t="inlineStr">
        <is>
          <t>-</t>
        </is>
      </c>
      <c r="G185" s="6" t="inlineStr">
        <is>
          <t>-</t>
        </is>
      </c>
      <c r="H185" s="6" t="n"/>
    </row>
    <row r="186">
      <c r="A186" s="6" t="inlineStr">
        <is>
          <t>3123 ПС</t>
        </is>
      </c>
      <c r="B186" s="6" t="inlineStr">
        <is>
          <t>1.5</t>
        </is>
      </c>
      <c r="C186" s="6" t="inlineStr">
        <is>
          <t>Извещатель пожарный дымовой адресный</t>
        </is>
      </c>
      <c r="D186" s="6" t="inlineStr">
        <is>
          <t>ИП 212-164-R3</t>
        </is>
      </c>
      <c r="E186" s="6" t="n">
        <v>4</v>
      </c>
      <c r="F186" s="6" t="inlineStr">
        <is>
          <t>-</t>
        </is>
      </c>
      <c r="G186" s="6" t="inlineStr">
        <is>
          <t>-</t>
        </is>
      </c>
      <c r="H186" s="6" t="n"/>
    </row>
    <row r="187">
      <c r="A187" s="6" t="inlineStr">
        <is>
          <t>3123 ПС</t>
        </is>
      </c>
      <c r="B187" s="6" t="inlineStr">
        <is>
          <t>1.6</t>
        </is>
      </c>
      <c r="C187" s="6" t="inlineStr">
        <is>
          <t>Извещатель пожарный ручной адресный</t>
        </is>
      </c>
      <c r="D187" s="6" t="inlineStr">
        <is>
          <t>ИПР 513-11-А-R3</t>
        </is>
      </c>
      <c r="E187" s="6" t="n">
        <v>2</v>
      </c>
      <c r="F187" s="6" t="inlineStr">
        <is>
          <t>-</t>
        </is>
      </c>
      <c r="G187" s="6" t="inlineStr">
        <is>
          <t>-</t>
        </is>
      </c>
      <c r="H187" s="6" t="n"/>
    </row>
    <row r="188">
      <c r="A188" s="6" t="inlineStr">
        <is>
          <t>3123 ПС</t>
        </is>
      </c>
      <c r="B188" s="6" t="inlineStr">
        <is>
          <t>1.7</t>
        </is>
      </c>
      <c r="C188" s="6" t="inlineStr">
        <is>
          <t>Табло «Выход»</t>
        </is>
      </c>
      <c r="D188" s="6" t="inlineStr">
        <is>
          <t>ОПОП 1-R3</t>
        </is>
      </c>
      <c r="E188" s="6" t="n">
        <v>2</v>
      </c>
      <c r="F188" s="6" t="inlineStr">
        <is>
          <t>-</t>
        </is>
      </c>
      <c r="G188" s="6" t="inlineStr">
        <is>
          <t>-</t>
        </is>
      </c>
      <c r="H188" s="6" t="n"/>
    </row>
    <row r="189">
      <c r="A189" s="6" t="inlineStr">
        <is>
          <t>3123 ПС</t>
        </is>
      </c>
      <c r="B189" s="6" t="inlineStr">
        <is>
          <t>1.8</t>
        </is>
      </c>
      <c r="C189" s="6" t="inlineStr">
        <is>
          <t>Оповещатель свето-звуковой</t>
        </is>
      </c>
      <c r="D189" s="6" t="inlineStr">
        <is>
          <t>ОПОП 124-R3</t>
        </is>
      </c>
      <c r="E189" s="6" t="n">
        <v>2</v>
      </c>
      <c r="F189" s="6" t="inlineStr">
        <is>
          <t>-</t>
        </is>
      </c>
      <c r="G189" s="6" t="inlineStr">
        <is>
          <t>-</t>
        </is>
      </c>
      <c r="H189" s="6" t="n"/>
    </row>
    <row r="190">
      <c r="A190" s="6" t="inlineStr">
        <is>
          <t>3123 АОВ</t>
        </is>
      </c>
      <c r="B190" s="6" t="inlineStr">
        <is>
          <t>03TT12501…12505</t>
        </is>
      </c>
      <c r="C190" s="6" t="inlineStr">
        <is>
          <t>Термопреобразователь Pt100</t>
        </is>
      </c>
      <c r="D190" s="6" t="n"/>
      <c r="E190" s="6" t="n">
        <v>5</v>
      </c>
      <c r="F190" s="6" t="inlineStr">
        <is>
          <t>-</t>
        </is>
      </c>
      <c r="G190" s="6" t="inlineStr">
        <is>
          <t>-</t>
        </is>
      </c>
      <c r="H190" s="6" t="inlineStr">
        <is>
          <t>HOLD в СО</t>
        </is>
      </c>
    </row>
    <row r="191">
      <c r="A191" s="6" t="inlineStr">
        <is>
          <t>3123 АОВ</t>
        </is>
      </c>
      <c r="B191" s="6" t="inlineStr">
        <is>
          <t>03PDS12501, 12502</t>
        </is>
      </c>
      <c r="C191" s="6" t="inlineStr">
        <is>
          <t>Реле перепада давления 40–400 Па</t>
        </is>
      </c>
      <c r="D191" s="6" t="n"/>
      <c r="E191" s="6" t="n">
        <v>2</v>
      </c>
      <c r="F191" s="6" t="inlineStr">
        <is>
          <t>-</t>
        </is>
      </c>
      <c r="G191" s="6" t="inlineStr">
        <is>
          <t>-</t>
        </is>
      </c>
      <c r="H191" s="6" t="inlineStr">
        <is>
          <t>HOLD в СО</t>
        </is>
      </c>
    </row>
    <row r="192">
      <c r="A192" s="6" t="inlineStr">
        <is>
          <t>3123 АОВ</t>
        </is>
      </c>
      <c r="B192" s="6" t="inlineStr">
        <is>
          <t>03PDS…</t>
        </is>
      </c>
      <c r="C192" s="6" t="inlineStr">
        <is>
          <t>Реле перепада давления 100–1000 Па</t>
        </is>
      </c>
      <c r="D192" s="6" t="n"/>
      <c r="E192" s="6" t="n">
        <v>3</v>
      </c>
      <c r="F192" s="6" t="inlineStr">
        <is>
          <t>-</t>
        </is>
      </c>
      <c r="G192" s="6" t="inlineStr">
        <is>
          <t>-</t>
        </is>
      </c>
      <c r="H192" s="6" t="inlineStr">
        <is>
          <t>HOLD в СО</t>
        </is>
      </c>
    </row>
    <row r="193">
      <c r="A193" s="6" t="inlineStr">
        <is>
          <t>3123 АОВ1</t>
        </is>
      </c>
      <c r="B193" s="6" t="inlineStr">
        <is>
          <t>1.2</t>
        </is>
      </c>
      <c r="C193" s="6" t="inlineStr">
        <is>
          <t>Источник бесперебойного питания 24 В</t>
        </is>
      </c>
      <c r="D193" s="6" t="inlineStr">
        <is>
          <t>ИВЭПР 24/2,5 RS-R3</t>
        </is>
      </c>
      <c r="E193" s="6" t="n">
        <v>1</v>
      </c>
      <c r="F193" s="6" t="inlineStr">
        <is>
          <t>-</t>
        </is>
      </c>
      <c r="G193" s="6" t="inlineStr">
        <is>
          <t>-</t>
        </is>
      </c>
      <c r="H193" s="6" t="inlineStr">
        <is>
          <t>Количество уточнить по СО</t>
        </is>
      </c>
    </row>
    <row r="194">
      <c r="A194" s="6" t="inlineStr">
        <is>
          <t>3123 АОВ1</t>
        </is>
      </c>
      <c r="B194" s="6" t="inlineStr">
        <is>
          <t>03SC12501…12503</t>
        </is>
      </c>
      <c r="C194" s="6" t="inlineStr">
        <is>
          <t>Модуль релейный</t>
        </is>
      </c>
      <c r="D194" s="6" t="inlineStr">
        <is>
          <t>РМ-1С-R3</t>
        </is>
      </c>
      <c r="E194" s="6" t="n">
        <v>3</v>
      </c>
      <c r="F194" s="6" t="inlineStr">
        <is>
          <t>-</t>
        </is>
      </c>
      <c r="G194" s="6" t="inlineStr">
        <is>
          <t>-</t>
        </is>
      </c>
      <c r="H194" s="6" t="n"/>
    </row>
    <row r="195">
      <c r="A195" s="6" t="inlineStr">
        <is>
          <t>3123 АОВ1</t>
        </is>
      </c>
      <c r="B195" s="6" t="inlineStr">
        <is>
          <t>03MD12501, 12502</t>
        </is>
      </c>
      <c r="C195" s="6" t="inlineStr">
        <is>
          <t>Модуль автоматики дымоудаления</t>
        </is>
      </c>
      <c r="D195" s="6" t="inlineStr">
        <is>
          <t>МДУ-1С-R3</t>
        </is>
      </c>
      <c r="E195" s="6" t="n">
        <v>2</v>
      </c>
      <c r="F195" s="6" t="inlineStr">
        <is>
          <t>-</t>
        </is>
      </c>
      <c r="G195" s="6" t="inlineStr">
        <is>
          <t>-</t>
        </is>
      </c>
      <c r="H195" s="6" t="n"/>
    </row>
    <row r="196">
      <c r="A196" s="6" t="inlineStr">
        <is>
          <t>3123 АОВ1</t>
        </is>
      </c>
      <c r="B196" s="6" t="inlineStr">
        <is>
          <t>—</t>
        </is>
      </c>
      <c r="C196" s="6" t="inlineStr">
        <is>
          <t>Модуль релейный с контролем цепей / РМ-4</t>
        </is>
      </c>
      <c r="D196" s="6" t="inlineStr">
        <is>
          <t>РМ-K-R3 / РМ-4-R3</t>
        </is>
      </c>
      <c r="E196" s="6" t="n">
        <v>2</v>
      </c>
      <c r="F196" s="6" t="inlineStr">
        <is>
          <t>-</t>
        </is>
      </c>
      <c r="G196" s="6" t="inlineStr">
        <is>
          <t>-</t>
        </is>
      </c>
      <c r="H196" s="6" t="n"/>
    </row>
    <row r="197">
      <c r="A197" s="6" t="inlineStr">
        <is>
          <t>3128 ОС</t>
        </is>
      </c>
      <c r="B197" s="6" t="inlineStr">
        <is>
          <t>1.1</t>
        </is>
      </c>
      <c r="C197" s="6" t="inlineStr">
        <is>
          <t>Шкаф навесной IP66 500х400х200</t>
        </is>
      </c>
      <c r="D197" s="6" t="n"/>
      <c r="E197" s="6" t="n">
        <v>1</v>
      </c>
      <c r="F197" s="6" t="inlineStr">
        <is>
          <t>-</t>
        </is>
      </c>
      <c r="G197" s="6" t="inlineStr">
        <is>
          <t>-</t>
        </is>
      </c>
      <c r="H197" s="6" t="n"/>
    </row>
    <row r="198">
      <c r="A198" s="6" t="inlineStr">
        <is>
          <t>3128 ОС</t>
        </is>
      </c>
      <c r="B198" s="6" t="inlineStr">
        <is>
          <t>1.3</t>
        </is>
      </c>
      <c r="C198" s="6" t="inlineStr">
        <is>
          <t>Контроллер линейный системы охраны периметра</t>
        </is>
      </c>
      <c r="D198" s="6" t="inlineStr">
        <is>
          <t>Пунктир-ЛК-А (ТвинПро)</t>
        </is>
      </c>
      <c r="E198" s="6" t="n">
        <v>2</v>
      </c>
      <c r="F198" s="6" t="inlineStr">
        <is>
          <t>-</t>
        </is>
      </c>
      <c r="G198" s="6" t="inlineStr">
        <is>
          <t>-</t>
        </is>
      </c>
      <c r="H198" s="6" t="n"/>
    </row>
    <row r="199">
      <c r="A199" s="6" t="inlineStr">
        <is>
          <t>3128 ОС</t>
        </is>
      </c>
      <c r="B199" s="6" t="inlineStr">
        <is>
          <t>1.5</t>
        </is>
      </c>
      <c r="C199" s="6" t="inlineStr">
        <is>
          <t>Изолятор КЗ извещателя</t>
        </is>
      </c>
      <c r="D199" s="6" t="inlineStr">
        <is>
          <t>Пунктир КЗ-А</t>
        </is>
      </c>
      <c r="E199" s="6" t="n">
        <v>11</v>
      </c>
      <c r="F199" s="6" t="inlineStr">
        <is>
          <t>-</t>
        </is>
      </c>
      <c r="G199" s="6" t="inlineStr">
        <is>
          <t>-</t>
        </is>
      </c>
      <c r="H199" s="6" t="n"/>
    </row>
    <row r="200">
      <c r="A200" s="6" t="inlineStr">
        <is>
          <t>3128 ОС</t>
        </is>
      </c>
      <c r="B200" s="6" t="inlineStr">
        <is>
          <t>1.6</t>
        </is>
      </c>
      <c r="C200" s="6" t="inlineStr">
        <is>
          <t>Адресный модуль входов/выходов</t>
        </is>
      </c>
      <c r="D200" s="6" t="inlineStr">
        <is>
          <t>Пунктир-МВ-А</t>
        </is>
      </c>
      <c r="E200" s="6" t="n">
        <v>2</v>
      </c>
      <c r="F200" s="6" t="inlineStr">
        <is>
          <t>-</t>
        </is>
      </c>
      <c r="G200" s="6" t="inlineStr">
        <is>
          <t>-</t>
        </is>
      </c>
      <c r="H200" s="6" t="n"/>
    </row>
    <row r="201">
      <c r="A201" s="6" t="inlineStr">
        <is>
          <t>3128 ОС</t>
        </is>
      </c>
      <c r="B201" s="6" t="inlineStr">
        <is>
          <t>1.7</t>
        </is>
      </c>
      <c r="C201" s="6" t="inlineStr">
        <is>
          <t>Блок индикации</t>
        </is>
      </c>
      <c r="D201" s="6" t="inlineStr">
        <is>
          <t>Пунктир-БИ-А</t>
        </is>
      </c>
      <c r="E201" s="6" t="n">
        <v>1</v>
      </c>
      <c r="F201" s="6" t="inlineStr">
        <is>
          <t>1828</t>
        </is>
      </c>
      <c r="G201" s="6" t="inlineStr">
        <is>
          <t>-</t>
        </is>
      </c>
      <c r="H201" s="6" t="inlineStr">
        <is>
          <t>Есть в отклонённом RFI 1828</t>
        </is>
      </c>
    </row>
    <row r="202">
      <c r="A202" s="6" t="inlineStr">
        <is>
          <t>3128 ОС</t>
        </is>
      </c>
      <c r="B202" s="6" t="inlineStr">
        <is>
          <t>1.8</t>
        </is>
      </c>
      <c r="C202" s="6" t="inlineStr">
        <is>
          <t>Релейный модуль</t>
        </is>
      </c>
      <c r="D202" s="6" t="inlineStr">
        <is>
          <t>ПУНКТИР РМ-У</t>
        </is>
      </c>
      <c r="E202" s="6" t="n">
        <v>1</v>
      </c>
      <c r="F202" s="6" t="inlineStr">
        <is>
          <t>-</t>
        </is>
      </c>
      <c r="G202" s="6" t="inlineStr">
        <is>
          <t>-</t>
        </is>
      </c>
      <c r="H202" s="6" t="n"/>
    </row>
    <row r="203" ht="26.4" customHeight="1" s="19">
      <c r="A203" s="6" t="inlineStr">
        <is>
          <t>3128 ОС</t>
        </is>
      </c>
      <c r="B203" s="6" t="inlineStr">
        <is>
          <t>1.10</t>
        </is>
      </c>
      <c r="C203" s="6" t="inlineStr">
        <is>
          <t>Извещатель оптико-электронный активный 4-лучевой 60 м</t>
        </is>
      </c>
      <c r="D203" s="6" t="inlineStr">
        <is>
          <t>SL-200QN (Optex)</t>
        </is>
      </c>
      <c r="E203" s="6" t="n">
        <v>1</v>
      </c>
      <c r="F203" s="6" t="inlineStr">
        <is>
          <t>1828</t>
        </is>
      </c>
      <c r="G203" s="6" t="inlineStr">
        <is>
          <t>-</t>
        </is>
      </c>
      <c r="H203" s="6" t="inlineStr">
        <is>
          <t>Есть в отклонённом RFI 1828</t>
        </is>
      </c>
    </row>
    <row r="204">
      <c r="A204" s="6" t="inlineStr">
        <is>
          <t>3128 ОС</t>
        </is>
      </c>
      <c r="B204" s="6" t="inlineStr">
        <is>
          <t>1.14</t>
        </is>
      </c>
      <c r="C204" s="6" t="inlineStr">
        <is>
          <t>АКБ 12 В 40 Ач</t>
        </is>
      </c>
      <c r="D204" s="6" t="inlineStr">
        <is>
          <t>DT 1240</t>
        </is>
      </c>
      <c r="E204" s="6" t="n">
        <v>4</v>
      </c>
      <c r="F204" s="6" t="inlineStr">
        <is>
          <t>-</t>
        </is>
      </c>
      <c r="G204" s="6" t="inlineStr">
        <is>
          <t>-</t>
        </is>
      </c>
      <c r="H204" s="6" t="n"/>
    </row>
    <row r="205">
      <c r="A205" s="6" t="inlineStr">
        <is>
          <t>3128 ОС</t>
        </is>
      </c>
      <c r="B205" s="6" t="inlineStr">
        <is>
          <t>1.15</t>
        </is>
      </c>
      <c r="C205" s="6" t="inlineStr">
        <is>
          <t>Устройство защиты цепей вторичного питания</t>
        </is>
      </c>
      <c r="D205" s="6" t="inlineStr">
        <is>
          <t>ГСД3-24 (Hakel)</t>
        </is>
      </c>
      <c r="E205" s="6" t="n">
        <v>1</v>
      </c>
      <c r="F205" s="6" t="inlineStr">
        <is>
          <t>1828</t>
        </is>
      </c>
      <c r="G205" s="6" t="inlineStr">
        <is>
          <t>-</t>
        </is>
      </c>
      <c r="H205" s="6" t="inlineStr">
        <is>
          <t>Есть в отклонённом RFI 1828</t>
        </is>
      </c>
    </row>
    <row r="206" ht="26.4" customHeight="1" s="19">
      <c r="A206" s="6" t="inlineStr">
        <is>
          <t>3128 СОО</t>
        </is>
      </c>
      <c r="B206" s="6" t="inlineStr">
        <is>
          <t>1.1</t>
        </is>
      </c>
      <c r="C206" s="6" t="inlineStr">
        <is>
          <t>Шкаф распределительный охранного освещения IP31</t>
        </is>
      </c>
      <c r="D206" s="6" t="n"/>
      <c r="E206" s="6" t="n">
        <v>1</v>
      </c>
      <c r="F206" s="6" t="inlineStr">
        <is>
          <t>-</t>
        </is>
      </c>
      <c r="G206" s="6" t="inlineStr">
        <is>
          <t>-</t>
        </is>
      </c>
      <c r="H206" s="6" t="n"/>
    </row>
    <row r="207">
      <c r="A207" s="6" t="inlineStr">
        <is>
          <t>3128 СОО</t>
        </is>
      </c>
      <c r="B207" s="6" t="inlineStr">
        <is>
          <t>1.2</t>
        </is>
      </c>
      <c r="C207" s="6" t="inlineStr">
        <is>
          <t>Контроллер линии светильников (до 126 шт)</t>
        </is>
      </c>
      <c r="D207" s="6" t="n"/>
      <c r="E207" s="6" t="n">
        <v>1</v>
      </c>
      <c r="F207" s="6" t="inlineStr">
        <is>
          <t>-</t>
        </is>
      </c>
      <c r="G207" s="6" t="inlineStr">
        <is>
          <t>-</t>
        </is>
      </c>
      <c r="H207" s="6" t="n"/>
    </row>
    <row r="208">
      <c r="A208" s="6" t="inlineStr">
        <is>
          <t>3128 СОО</t>
        </is>
      </c>
      <c r="B208" s="6" t="inlineStr">
        <is>
          <t>1.3</t>
        </is>
      </c>
      <c r="C208" s="6" t="inlineStr">
        <is>
          <t>Релейный модуль</t>
        </is>
      </c>
      <c r="D208" s="6" t="n"/>
      <c r="E208" s="6" t="n">
        <v>1</v>
      </c>
      <c r="F208" s="6" t="inlineStr">
        <is>
          <t>-</t>
        </is>
      </c>
      <c r="G208" s="6" t="inlineStr">
        <is>
          <t>-</t>
        </is>
      </c>
      <c r="H208" s="6" t="n"/>
    </row>
    <row r="209">
      <c r="A209" s="6" t="inlineStr">
        <is>
          <t>3128 СОО</t>
        </is>
      </c>
      <c r="B209" s="6" t="inlineStr">
        <is>
          <t>1.4</t>
        </is>
      </c>
      <c r="C209" s="6" t="inlineStr">
        <is>
          <t>Источник бесперебойного питания 12 В 6 А</t>
        </is>
      </c>
      <c r="D209" s="6" t="n"/>
      <c r="E209" s="6" t="n">
        <v>1</v>
      </c>
      <c r="F209" s="6" t="inlineStr">
        <is>
          <t>-</t>
        </is>
      </c>
      <c r="G209" s="6" t="inlineStr">
        <is>
          <t>-</t>
        </is>
      </c>
      <c r="H209" s="6" t="n"/>
    </row>
    <row r="210" ht="26.4" customHeight="1" s="19">
      <c r="A210" s="6" t="inlineStr">
        <is>
          <t>3128 СОТ</t>
        </is>
      </c>
      <c r="B210" s="6" t="inlineStr">
        <is>
          <t>1.1</t>
        </is>
      </c>
      <c r="C210" s="6" t="inlineStr">
        <is>
          <t>Шкаф уличный с коммутатором PoE, кроссом и ИБП</t>
        </is>
      </c>
      <c r="D210" s="6" t="inlineStr">
        <is>
          <t>PSW-2G+UPS-Box (TFortis)</t>
        </is>
      </c>
      <c r="E210" s="6" t="n">
        <v>6</v>
      </c>
      <c r="F210" s="6" t="inlineStr">
        <is>
          <t>-</t>
        </is>
      </c>
      <c r="G210" s="6" t="inlineStr">
        <is>
          <t>-</t>
        </is>
      </c>
      <c r="H210" s="6" t="n"/>
    </row>
    <row r="211">
      <c r="A211" s="6" t="inlineStr">
        <is>
          <t>3128 СОТ</t>
        </is>
      </c>
      <c r="B211" s="6" t="inlineStr">
        <is>
          <t>1.4</t>
        </is>
      </c>
      <c r="C211" s="6" t="inlineStr">
        <is>
          <t>IP-видеокамера уличная вариофокальная</t>
        </is>
      </c>
      <c r="D211" s="6" t="inlineStr">
        <is>
          <t>IPTRONIC</t>
        </is>
      </c>
      <c r="E211" s="6" t="n">
        <v>10</v>
      </c>
      <c r="F211" s="6" t="inlineStr">
        <is>
          <t>-</t>
        </is>
      </c>
      <c r="G211" s="6" t="inlineStr">
        <is>
          <t>-</t>
        </is>
      </c>
      <c r="H211" s="6" t="n"/>
    </row>
    <row r="212">
      <c r="A212" s="6" t="inlineStr">
        <is>
          <t>3128 СОТ</t>
        </is>
      </c>
      <c r="B212" s="6" t="inlineStr">
        <is>
          <t>1.5</t>
        </is>
      </c>
      <c r="C212" s="6" t="inlineStr">
        <is>
          <t>Поворотная купольная IP-видеокамера</t>
        </is>
      </c>
      <c r="D212" s="6" t="inlineStr">
        <is>
          <t>IPTS-IPZM5025 (IPTRONIC)</t>
        </is>
      </c>
      <c r="E212" s="6" t="n">
        <v>2</v>
      </c>
      <c r="F212" s="6" t="inlineStr">
        <is>
          <t>-</t>
        </is>
      </c>
      <c r="G212" s="6" t="inlineStr">
        <is>
          <t>-</t>
        </is>
      </c>
      <c r="H212" s="6" t="n"/>
    </row>
  </sheetData>
  <autoFilter ref="A4:H212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6640625" defaultRowHeight="14.4"/>
  <cols>
    <col width="16" customWidth="1" style="19" min="1" max="1"/>
    <col width="120" customWidth="1" style="19" min="2" max="2"/>
  </cols>
  <sheetData>
    <row r="1" ht="15.6" customHeight="1" s="19">
      <c r="A1" s="10" t="inlineStr">
        <is>
          <t>Пояснения к своду</t>
        </is>
      </c>
    </row>
    <row r="3">
      <c r="A3" s="7" t="inlineStr">
        <is>
          <t>ЦЕЛЬ</t>
        </is>
      </c>
      <c r="B3" s="12" t="n"/>
    </row>
    <row r="4" ht="26.4" customHeight="1" s="19">
      <c r="A4" s="13" t="inlineStr">
        <is>
          <t>Задача</t>
        </is>
      </c>
      <c r="B4" s="12" t="inlineStr">
        <is>
          <t>По РД главной подстанции (титулы 3120, 3121, 3123, 3128) выделить оборудование из спецификаций, найти заводские номера и АоРПИ; где номера нет — оставить пусто, где АоРПИ нет — «-».</t>
        </is>
      </c>
    </row>
    <row r="5">
      <c r="A5" s="7" t="inlineStr">
        <is>
          <t>ИСТОЧНИКИ</t>
        </is>
      </c>
      <c r="B5" s="12" t="n"/>
    </row>
    <row r="6" ht="26.4" customHeight="1" s="19">
      <c r="A6" s="7" t="inlineStr">
        <is>
          <t>РД / СО</t>
        </is>
      </c>
      <c r="B6" s="12" t="inlineStr">
        <is>
          <t>SMB-46/PTO/6. Electric электрический/1.Последние чертежи/3120 и подпапка «Спецификация материалов» (doc/docx/xlsx последних ревизий). Из каждой СО взят раздел «Оборудование» (для слаботочки — приборы и устройства, без кабелей и материалов).</t>
        </is>
      </c>
    </row>
    <row r="7" ht="39.6" customHeight="1" s="19">
      <c r="A7" s="13" t="inlineStr">
        <is>
          <t>АоРПИ</t>
        </is>
      </c>
      <c r="B7" s="12" t="inlineStr">
        <is>
          <t>Sharepoint/02-PTO/05 RFI &amp; Incoming control/2.Incoming control/1.Closed (подписан) и 2.Open (не подписан); акты в формате разработки — SMB-46/PTO/Alfa-prom/Входной контроль (База Данных) (статус «Не подписан», если в 2.Open не загружены). Старая папка Alfa-prom/Incoming control удалена и не учитывается.</t>
        </is>
      </c>
    </row>
    <row r="8" ht="26.4" customHeight="1" s="19">
      <c r="A8" s="7" t="inlineStr">
        <is>
          <t>RFI</t>
        </is>
      </c>
      <c r="B8" s="12" t="inlineStr">
        <is>
          <t>Sharepoint/02-PTO/05 RFI &amp; Incoming control/1.RFI/CHENGDA (1541 RFI-форм просмотрено); заводские номера взяты из поля «Объект инспекции» и Приложений № 2.</t>
        </is>
      </c>
    </row>
    <row r="9" ht="26.4" customHeight="1" s="19">
      <c r="A9" s="13" t="inlineStr">
        <is>
          <t>Паспорта</t>
        </is>
      </c>
      <c r="B9" s="12" t="inlineStr">
        <is>
          <t>Sharepoint/_Текст для поиска (распознанный текст PDF): зав. № трансформаторов 005214V/005215V взяты из текста АоРПИ 477/478.</t>
        </is>
      </c>
    </row>
    <row r="10">
      <c r="A10" s="7" t="inlineStr">
        <is>
          <t>ОГРАНИЧЕНИЯ</t>
        </is>
      </c>
      <c r="B10" s="12" t="n"/>
    </row>
    <row r="11" ht="39.6" customHeight="1" s="19">
      <c r="A11" s="13" t="inlineStr">
        <is>
          <t>1</t>
        </is>
      </c>
      <c r="B11" s="12" t="inlineStr">
        <is>
          <t>СО перепроверены 28.09.2026: АСУЭ — по ревизии 4С (10.07.2026), АИИСКУЭ — по 4B (13.08.2026), ЭС4 — 4А (новее нет). Состав шкафов АСУЭ/АИИСКУЭ не изменился; в АИИСКУЭ изменены марки счётчиков (СТЭМ-300.263SU/153SU) и ноутбук АРМ инженера. ЗИП (раздел 5) в свод не включён.</t>
        </is>
      </c>
    </row>
    <row r="12" ht="26.4" customHeight="1" s="19">
      <c r="A12" s="13" t="inlineStr">
        <is>
          <t>2</t>
        </is>
      </c>
      <c r="B12" s="12" t="inlineStr">
        <is>
          <t>Для светильников, извещателей и т.п. заводские номера в документах поставки не указываются — такие строки будут «без зав. №» по определению.</t>
        </is>
      </c>
    </row>
    <row r="13" ht="26.4" customHeight="1" s="19">
      <c r="A13" s="13" t="inlineStr">
        <is>
          <t>3</t>
        </is>
      </c>
      <c r="B13" s="12" t="inlineStr">
        <is>
          <t>Номер ЩСН: в АоРПИ 806 и RFI 1560-2 — 297-25, в отклонённом RFI 1560-1 — 189-25. Номер ЩПТ: паспорта 25002 (№1) и 25003 (№2), в АоРПИ 816 — «ЩПТ №2 25002».</t>
        </is>
      </c>
    </row>
    <row r="14" ht="26.4" customHeight="1" s="19">
      <c r="A14" s="7" t="inlineStr">
        <is>
          <t>ЦВЕТА</t>
        </is>
      </c>
      <c r="B14" s="12" t="inlineStr">
        <is>
          <t>Зелёный — зав. № есть и АоРПИ подписан; жёлтый — зав. № есть, но АоРПИ не подписан/нет или номера не все; красный — зав. № не найден.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9" sqref="F9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ЭС1 — оборудование (раздел «Оборудование» спецификации), заводские номера и АоРПИ</t>
        </is>
      </c>
    </row>
    <row r="2">
      <c r="A2" s="14" t="inlineStr">
        <is>
          <t>СО: E19006-CXPP-3120-ЭС1.СО-001 (03-90-1200-44-ЭС.СО-001), ревизия 4А (Спецификация материалов/.doc)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66" customHeight="1" s="19">
      <c r="A6" s="6" t="inlineStr">
        <is>
          <t>0312GIS01</t>
        </is>
      </c>
      <c r="B6" s="6" t="inlineStr">
        <is>
          <t>КРУЭ 220 кВ по типовой схеме 220-5АН, 4000 А, 50 кА</t>
        </is>
      </c>
      <c r="C6" s="6" t="inlineStr">
        <is>
          <t>ZF28-252 (Shanghai Sieyuan)</t>
        </is>
      </c>
      <c r="D6" s="6" t="inlineStr">
        <is>
          <t>компл.</t>
        </is>
      </c>
      <c r="E6" s="6" t="n">
        <v>1</v>
      </c>
      <c r="F6" s="6" t="inlineStr">
        <is>
          <t>SGF24012NSD01; SGF24012NSD02; SGF24012NSD03; SGF24012NSD04</t>
        </is>
      </c>
      <c r="G6" s="6" t="n">
        <v>4</v>
      </c>
      <c r="H6" s="6" t="inlineStr">
        <is>
          <t>RFI 1440 (отклонён)</t>
        </is>
      </c>
      <c r="I6" s="5" t="inlineStr">
        <is>
          <t>1440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4 зав. № — по транспортным блокам КРУЭ. Документы Чэнда по RFI 1440 от 22.09.2026 (TRM 18712) — только паспорта ОПН (TP-0007), паспортов КРУЭ с зав. № нет. RFI 1440 отклонён, повторного RFI нет; АоРПИ нет</t>
        </is>
      </c>
      <c r="N6" s="6" t="n"/>
      <c r="O6" s="6" t="inlineStr">
        <is>
          <t>CHENGDA-MU-IC-1440</t>
        </is>
      </c>
      <c r="P6" s="6" t="inlineStr">
        <is>
          <t>нет, акт рабочий лист</t>
        </is>
      </c>
      <c r="Q6" s="6" t="inlineStr">
        <is>
          <t>Документы отклонены заказчиком. Исправленных документов не получали.</t>
        </is>
      </c>
      <c r="R6" s="15" t="inlineStr">
        <is>
          <t>Совпадает</t>
        </is>
      </c>
    </row>
    <row r="7" ht="39.6" customHeight="1" s="19">
      <c r="A7" s="6" t="inlineStr">
        <is>
          <t>—</t>
        </is>
      </c>
      <c r="B7" s="6" t="inlineStr">
        <is>
          <t>Шкаф местного управления 1200х900х2000, IP55</t>
        </is>
      </c>
      <c r="C7" s="6" t="inlineStr">
        <is>
          <t>ШМУ (Sieyuan)</t>
        </is>
      </c>
      <c r="D7" s="6" t="inlineStr">
        <is>
          <t>компл.</t>
        </is>
      </c>
      <c r="E7" s="6" t="n">
        <v>2</v>
      </c>
      <c r="F7" s="6" t="n"/>
      <c r="G7" s="6" t="n">
        <v>0</v>
      </c>
      <c r="H7" s="6" t="n"/>
      <c r="I7" s="5" t="inlineStr">
        <is>
          <t>1440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inlineStr">
        <is>
          <t>В RFI 1440 только чертёжный № SGF24012NS6010; зав. № не найден</t>
        </is>
      </c>
      <c r="N7" s="6" t="n"/>
      <c r="O7" s="6" t="inlineStr">
        <is>
          <t>CHENGDA-MU-IC-1440</t>
        </is>
      </c>
      <c r="P7" s="6" t="inlineStr">
        <is>
          <t>нет, акт рабочий лист</t>
        </is>
      </c>
      <c r="Q7" s="6" t="inlineStr">
        <is>
          <t>Документов нет, в первом комплекте документы на данные позиции отсутствовали.</t>
        </is>
      </c>
      <c r="R7" s="11" t="inlineStr">
        <is>
          <t>кол-во: в СО 2, в сводной 3</t>
        </is>
      </c>
    </row>
    <row r="8" ht="39.6" customHeight="1" s="19">
      <c r="A8" s="6" t="inlineStr">
        <is>
          <t>—</t>
        </is>
      </c>
      <c r="B8" s="6" t="inlineStr">
        <is>
          <t>Шкаф местного управления 980х900х2000, IP55</t>
        </is>
      </c>
      <c r="C8" s="6" t="inlineStr">
        <is>
          <t>ШМУ (Sieyuan)</t>
        </is>
      </c>
      <c r="D8" s="6" t="inlineStr">
        <is>
          <t>компл.</t>
        </is>
      </c>
      <c r="E8" s="6" t="n">
        <v>2</v>
      </c>
      <c r="F8" s="6" t="n"/>
      <c r="G8" s="6" t="n">
        <v>0</v>
      </c>
      <c r="H8" s="6" t="n"/>
      <c r="I8" s="5" t="inlineStr">
        <is>
          <t>1440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В RFI 1440 чертёжные № SGF24012NS6020/6030; зав. № не найден</t>
        </is>
      </c>
      <c r="N8" s="6" t="n"/>
      <c r="O8" s="6" t="inlineStr">
        <is>
          <t>CHENGDA-MU-IC-1440</t>
        </is>
      </c>
      <c r="P8" s="6" t="inlineStr">
        <is>
          <t>нет, акт рабочий лист</t>
        </is>
      </c>
      <c r="Q8" s="6" t="inlineStr">
        <is>
          <t>Документов нет, в первом комплекте документы на данные позиции отсутствовали.</t>
        </is>
      </c>
      <c r="R8" s="15" t="inlineStr">
        <is>
          <t>Совпадает</t>
        </is>
      </c>
    </row>
    <row r="9" ht="39.6" customHeight="1" s="19">
      <c r="A9" s="6" t="inlineStr">
        <is>
          <t>—</t>
        </is>
      </c>
      <c r="B9" s="6" t="inlineStr">
        <is>
          <t>Шкаф онлайн-мониторинга 980х900х2000, IP54</t>
        </is>
      </c>
      <c r="C9" s="6" t="inlineStr">
        <is>
          <t>Sieyuan</t>
        </is>
      </c>
      <c r="D9" s="6" t="inlineStr">
        <is>
          <t>компл.</t>
        </is>
      </c>
      <c r="E9" s="6" t="n">
        <v>1</v>
      </c>
      <c r="F9" s="6" t="n"/>
      <c r="G9" s="6" t="n">
        <v>0</v>
      </c>
      <c r="H9" s="6" t="n"/>
      <c r="I9" s="5" t="inlineStr">
        <is>
          <t>1440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inlineStr">
        <is>
          <t>В RFI 1440 «Система мониторинга» NS1313–1315 без зав. №</t>
        </is>
      </c>
      <c r="N9" s="6" t="n"/>
      <c r="O9" s="6" t="inlineStr">
        <is>
          <t>CHENGDA-MU-IC-1440</t>
        </is>
      </c>
      <c r="P9" s="6" t="inlineStr">
        <is>
          <t>нет, акт рабочий лист</t>
        </is>
      </c>
      <c r="Q9" s="6" t="inlineStr">
        <is>
          <t>Документов нет, в первом комплекте документы на данные позиции отсутствовали.</t>
        </is>
      </c>
      <c r="R9" s="15" t="inlineStr">
        <is>
          <t>Совпадает</t>
        </is>
      </c>
    </row>
    <row r="10" ht="26.4" customHeight="1" s="19">
      <c r="A10" s="6" t="inlineStr">
        <is>
          <t>0312TRA01, 0312TRA02</t>
        </is>
      </c>
      <c r="B10" s="6" t="inlineStr">
        <is>
          <t>Трансформатор силовой масляный с расщеплённой обмоткой 63 МВА, РПН</t>
        </is>
      </c>
      <c r="C10" s="6" t="inlineStr">
        <is>
          <t>ТРДН-63000/220-УХЛ1 (ERSO)</t>
        </is>
      </c>
      <c r="D10" s="6" t="inlineStr">
        <is>
          <t>компл.</t>
        </is>
      </c>
      <c r="E10" s="6" t="n">
        <v>2</v>
      </c>
      <c r="F10" s="6" t="inlineStr">
        <is>
          <t>005214V (0312TRE01); 005215V (0312TRE02)</t>
        </is>
      </c>
      <c r="G10" s="6" t="n">
        <v>2</v>
      </c>
      <c r="H10" s="6" t="inlineStr">
        <is>
          <t>АоРПИ 477, 478</t>
        </is>
      </c>
      <c r="I10" s="5" t="inlineStr">
        <is>
          <t>1293-2, 1293</t>
        </is>
      </c>
      <c r="J10" s="5" t="inlineStr">
        <is>
          <t>477-3120-ТР-ЧНД, 478-3120-ТР-ЧНД</t>
        </is>
      </c>
      <c r="K10" s="6" t="inlineStr">
        <is>
          <t>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inlineStr">
        <is>
          <t>В СО теги 0312TRA01/02, в RFI и АоРПИ — 0312TRE01/02</t>
        </is>
      </c>
      <c r="N10" s="6" t="n"/>
      <c r="O10" s="6" t="inlineStr">
        <is>
          <t>CHENGDA-MU-IC-1293</t>
        </is>
      </c>
      <c r="P10" s="6" t="inlineStr">
        <is>
          <t>477-3120-TP-ЧНД 478-3120-TP-ЧНД</t>
        </is>
      </c>
      <c r="Q10" s="6" t="n"/>
      <c r="R10" s="11" t="inlineStr">
        <is>
          <t>RFI 1293 добавлен из сводной</t>
        </is>
      </c>
    </row>
    <row r="11" ht="52.8" customHeight="1" s="19">
      <c r="A11" s="6" t="inlineStr">
        <is>
          <t>—</t>
        </is>
      </c>
      <c r="B11" s="6" t="inlineStr">
        <is>
          <t>Ограничитель перенапряжений 220 кВ</t>
        </is>
      </c>
      <c r="C11" s="6" t="inlineStr">
        <is>
          <t>ОПНп-220/680/163-10-IV УХЛ1 (Полимер-Аппарат)</t>
        </is>
      </c>
      <c r="D11" s="6" t="inlineStr">
        <is>
          <t>шт</t>
        </is>
      </c>
      <c r="E11" s="6" t="n">
        <v>12</v>
      </c>
      <c r="F11" s="6" t="inlineStr">
        <is>
          <t>253392; 253393; 253394; 253395; 253396; 253397; 253398; 253399; 253400; 253401; 253402; 253403</t>
        </is>
      </c>
      <c r="G11" s="6" t="n">
        <v>12</v>
      </c>
      <c r="H11" s="6" t="inlineStr">
        <is>
          <t>RFI 1440(1); паспорта TP-0007 1B</t>
        </is>
      </c>
      <c r="I11" s="5" t="inlineStr">
        <is>
          <t>1440(1), 1440</t>
        </is>
      </c>
      <c r="J11" s="5" t="inlineStr">
        <is>
          <t>1248-3120-ЭС1-ВК-ЧНД</t>
        </is>
      </c>
      <c r="K11" s="6" t="inlineStr">
        <is>
          <t>Не подписан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inlineStr">
        <is>
          <t>Все 12 зав. № подтверждены паспортами E19006-PO-062-TP-0007 1B (ОТК 14.11.2025, Полимер-Аппарат). В АоРПИ 1248 зав. № не указаны — дописать</t>
        </is>
      </c>
      <c r="N11" s="6" t="inlineStr">
        <is>
          <t>E19006-PO-062-TP-0007 1B — 12 паспортов, зав. № 253392–253403 (ОТК 14.11.2025)</t>
        </is>
      </c>
      <c r="O11" s="6" t="inlineStr">
        <is>
          <t>CHENGDA-MU-IC-1440</t>
        </is>
      </c>
      <c r="P11" s="6" t="inlineStr">
        <is>
          <t>1248-3120-ЭС1-ВК-ЧНД</t>
        </is>
      </c>
      <c r="Q11" s="6" t="inlineStr">
        <is>
          <t>Сделали</t>
        </is>
      </c>
      <c r="R11" s="11" t="inlineStr">
        <is>
          <t>RFI 1440 добавлен из сводной</t>
        </is>
      </c>
    </row>
    <row r="12" ht="26.4" customHeight="1" s="19">
      <c r="A12" s="6" t="inlineStr">
        <is>
          <t>—</t>
        </is>
      </c>
      <c r="B12" s="6" t="inlineStr">
        <is>
          <t>Токопровод 10 кВ закрытый 2000 А, 50 кА, с ОПН 10 кВ</t>
        </is>
      </c>
      <c r="C12" s="6" t="inlineStr">
        <is>
          <t>Jiangsu Shilin</t>
        </is>
      </c>
      <c r="D12" s="6" t="inlineStr">
        <is>
          <t>компл.</t>
        </is>
      </c>
      <c r="E12" s="6" t="n">
        <v>4</v>
      </c>
      <c r="F12" s="6" t="n"/>
      <c r="G12" s="6" t="n">
        <v>0</v>
      </c>
      <c r="H12" s="6" t="n"/>
      <c r="I12" s="5" t="inlineStr">
        <is>
          <t>1332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inlineStr">
        <is>
          <t>Возможно поставлен по RFI 1332 (GM-12/2000) — привязку к 3120 сверить</t>
        </is>
      </c>
      <c r="N12" s="6" t="n"/>
      <c r="O12" s="6" t="inlineStr">
        <is>
          <t>CHENGDA-MU-IC-1332</t>
        </is>
      </c>
      <c r="P12" s="6" t="inlineStr">
        <is>
          <t>нет, акт рабочий лист</t>
        </is>
      </c>
      <c r="Q12" s="6" t="inlineStr">
        <is>
          <t>RFI на проверке в НГС с 22.04.2026</t>
        </is>
      </c>
      <c r="R12" s="15" t="inlineStr">
        <is>
          <t>Совпадает</t>
        </is>
      </c>
    </row>
    <row r="13" ht="52.8" customHeight="1" s="19">
      <c r="A13" s="6" t="inlineStr">
        <is>
          <t>—</t>
        </is>
      </c>
      <c r="B13" s="6" t="inlineStr">
        <is>
          <t>Токопровод 10 кВ закрытый 2000 А, 50 кА</t>
        </is>
      </c>
      <c r="C13" s="6" t="inlineStr">
        <is>
          <t>Jiangsu Shilin</t>
        </is>
      </c>
      <c r="D13" s="6" t="inlineStr">
        <is>
          <t>компл.</t>
        </is>
      </c>
      <c r="E13" s="6" t="n">
        <v>2</v>
      </c>
      <c r="F13" s="6" t="n"/>
      <c r="G13" s="6" t="n">
        <v>0</v>
      </c>
      <c r="H13" s="6" t="n"/>
      <c r="I13" s="5" t="inlineStr">
        <is>
          <t>1332, 1613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inlineStr">
        <is>
          <t>Возможно RFI 1332</t>
        </is>
      </c>
      <c r="N13" s="6" t="n"/>
      <c r="O13" s="6" t="inlineStr">
        <is>
          <t>CHENGDA-MU-IC-1332 / CHENGDA-MU-IC-1613</t>
        </is>
      </c>
      <c r="P13" s="6" t="inlineStr">
        <is>
          <t>нет, акт рабочий лист</t>
        </is>
      </c>
      <c r="Q13" s="6" t="inlineStr">
        <is>
          <t>Не понятно какой участок? Если от ЗРУ до Реакторов дугогасящих, то нет документов, если на подстанцию ГТГ 3103 то тоже нет документов.</t>
        </is>
      </c>
      <c r="R13" s="11" t="inlineStr">
        <is>
          <t>RFI 1613 добавлен из сводной</t>
        </is>
      </c>
    </row>
    <row r="14" ht="52.8" customHeight="1" s="19">
      <c r="A14" s="6" t="inlineStr">
        <is>
          <t>—</t>
        </is>
      </c>
      <c r="B14" s="6" t="inlineStr">
        <is>
          <t>Токопровод 10 кВ закрытый 100 А, 50 кА, с ОПН 10 кВ</t>
        </is>
      </c>
      <c r="C14" s="6" t="inlineStr">
        <is>
          <t>Jiangsu Shilin</t>
        </is>
      </c>
      <c r="D14" s="6" t="inlineStr">
        <is>
          <t>компл.</t>
        </is>
      </c>
      <c r="E14" s="6" t="n">
        <v>2</v>
      </c>
      <c r="F14" s="6" t="n"/>
      <c r="G14" s="6" t="n">
        <v>0</v>
      </c>
      <c r="H14" s="6" t="n"/>
      <c r="I14" s="5" t="inlineStr">
        <is>
          <t>1332, 1613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CHENGDA-MU-IC-1332 / CHENGDA-MU-IC-1613</t>
        </is>
      </c>
      <c r="P14" s="6" t="inlineStr">
        <is>
          <t>нет, акт рабочий лист</t>
        </is>
      </c>
      <c r="Q14" s="6" t="inlineStr">
        <is>
          <t>Не понятно какой участок? Если от ЗРУ до Реакторов дугогасящих, то нет документов, если на подстанцию ГТГ 3103 то тоже нет документов.</t>
        </is>
      </c>
      <c r="R14" s="11" t="inlineStr">
        <is>
          <t>RFI 1332 добавлен из сводной; RFI 1613 добавлен из сводной</t>
        </is>
      </c>
    </row>
    <row r="15" ht="26.4" customHeight="1" s="19">
      <c r="A15" s="6" t="inlineStr">
        <is>
          <t>—</t>
        </is>
      </c>
      <c r="B15" s="6" t="inlineStr">
        <is>
          <t>Шкаф управления системой охлаждения трансформатора, IP54</t>
        </is>
      </c>
      <c r="C15" s="6" t="inlineStr">
        <is>
          <t>ШУ-Д-2-380-16-4/2,5</t>
        </is>
      </c>
      <c r="D15" s="6" t="inlineStr">
        <is>
          <t>компл.</t>
        </is>
      </c>
      <c r="E15" s="6" t="n">
        <v>2</v>
      </c>
      <c r="F15" s="6" t="n"/>
      <c r="G15" s="6" t="n">
        <v>0</v>
      </c>
      <c r="H15" s="6" t="n"/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inlineStr">
        <is>
          <t>Вероятно в комплекте ТРДН — проверить паспорт E19006-PO-061-TP-0001</t>
        </is>
      </c>
      <c r="N15" s="6" t="n"/>
      <c r="O15" s="6" t="inlineStr">
        <is>
          <t>нет</t>
        </is>
      </c>
      <c r="P15" s="6" t="inlineStr">
        <is>
          <t>нет</t>
        </is>
      </c>
      <c r="Q15" s="6" t="n"/>
      <c r="R15" s="15" t="inlineStr">
        <is>
          <t>Совпадает</t>
        </is>
      </c>
    </row>
    <row r="16">
      <c r="D16" s="7" t="inlineStr">
        <is>
          <t>Итого</t>
        </is>
      </c>
      <c r="E16" s="7">
        <f>SUM(E6:E15)</f>
        <v/>
      </c>
      <c r="G16" s="7">
        <f>SUM(G6:G15)</f>
        <v/>
      </c>
    </row>
  </sheetData>
  <autoFilter ref="A5:R15"/>
  <conditionalFormatting sqref="F6:F15">
    <cfRule type="expression" priority="5" dxfId="1">
      <formula>$F6=""</formula>
    </cfRule>
  </conditionalFormatting>
  <conditionalFormatting sqref="L6:L15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J10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zoomScaleNormal="100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F43" sqref="F43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ЭС2 — оборудование (раздел «Оборудование» спецификации), заводские номера и АоРПИ</t>
        </is>
      </c>
    </row>
    <row r="2">
      <c r="A2" s="14" t="inlineStr">
        <is>
          <t>СО: E19006-CXPP-3120-ЭС2.СО-001, ревизия 4А (.xlsx)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 яч. 101 Резерв</t>
        </is>
      </c>
      <c r="B6" s="6" t="inlineStr">
        <is>
          <t>Ячейка КРУ-10 кВ (в составе КРУ 22 ячейки, VS1-EZ-12, Бреслер-0107)</t>
        </is>
      </c>
      <c r="C6" s="6" t="inlineStr">
        <is>
          <t>КРУ-ЭЗ-10-40 (Энергозащита)</t>
        </is>
      </c>
      <c r="D6" s="6" t="inlineStr">
        <is>
          <t>шт</t>
        </is>
      </c>
      <c r="E6" s="6" t="n">
        <v>1</v>
      </c>
      <c r="F6" s="6" t="inlineStr">
        <is>
          <t>15007069</t>
        </is>
      </c>
      <c r="G6" s="6" t="n">
        <v>1</v>
      </c>
      <c r="H6" s="6" t="inlineStr">
        <is>
          <t>АоРПИ 720</t>
        </is>
      </c>
      <c r="I6" s="5" t="inlineStr">
        <is>
          <t>1448</t>
        </is>
      </c>
      <c r="J6" s="5" t="inlineStr">
        <is>
          <t>720-3120-ЭС2-ВК-ЧНД</t>
        </is>
      </c>
      <c r="K6" s="6" t="inlineStr">
        <is>
          <t>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  <c r="O6" s="6" t="inlineStr">
        <is>
          <t>CHENGDA-MU-IC-1448</t>
        </is>
      </c>
      <c r="P6" s="6" t="inlineStr">
        <is>
          <t>720-3120-ЭС2-ВК-ЧНД</t>
        </is>
      </c>
      <c r="Q6" s="6" t="n"/>
      <c r="R6" s="15" t="inlineStr">
        <is>
          <t>Совпадает</t>
        </is>
      </c>
    </row>
    <row r="7" ht="26.4" customHeight="1" s="19">
      <c r="A7" s="6" t="inlineStr">
        <is>
          <t>1.1 яч. 102 ОЛ резерв</t>
        </is>
      </c>
      <c r="B7" s="6" t="inlineStr">
        <is>
          <t>Ячейка КРУ-10 кВ (в составе КРУ 22 ячейки, VS1-EZ-12, Бреслер-0107)</t>
        </is>
      </c>
      <c r="C7" s="6" t="inlineStr">
        <is>
          <t>КРУ-ЭЗ-10-40 (Энергозащита)</t>
        </is>
      </c>
      <c r="D7" s="6" t="inlineStr">
        <is>
          <t>шт</t>
        </is>
      </c>
      <c r="E7" s="6" t="n">
        <v>1</v>
      </c>
      <c r="F7" s="6" t="inlineStr">
        <is>
          <t>15007081</t>
        </is>
      </c>
      <c r="G7" s="6" t="n">
        <v>1</v>
      </c>
      <c r="H7" s="6" t="inlineStr">
        <is>
          <t>АоРПИ 720</t>
        </is>
      </c>
      <c r="I7" s="5" t="inlineStr">
        <is>
          <t>1448</t>
        </is>
      </c>
      <c r="J7" s="5" t="inlineStr">
        <is>
          <t>720-3120-ЭС2-ВК-ЧНД</t>
        </is>
      </c>
      <c r="K7" s="6" t="inlineStr">
        <is>
          <t>Подписан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  <c r="O7" s="6" t="inlineStr">
        <is>
          <t>CHENGDA-MU-IC-1448</t>
        </is>
      </c>
      <c r="P7" s="6" t="inlineStr">
        <is>
          <t>720-3120-ЭС2-ВК-ЧНД</t>
        </is>
      </c>
      <c r="Q7" s="6" t="n"/>
      <c r="R7" s="15" t="inlineStr">
        <is>
          <t>Совпадает</t>
        </is>
      </c>
    </row>
    <row r="8" ht="26.4" customHeight="1" s="19">
      <c r="A8" s="6" t="inlineStr">
        <is>
          <t>1.1 яч. 103 ОЛ ТСН1</t>
        </is>
      </c>
      <c r="B8" s="6" t="inlineStr">
        <is>
          <t>Ячейка КРУ-10 кВ (в составе КРУ 22 ячейки, VS1-EZ-12, Бреслер-0107)</t>
        </is>
      </c>
      <c r="C8" s="6" t="inlineStr">
        <is>
          <t>КРУ-ЭЗ-10-40 (Энергозащита)</t>
        </is>
      </c>
      <c r="D8" s="6" t="inlineStr">
        <is>
          <t>шт</t>
        </is>
      </c>
      <c r="E8" s="6" t="n">
        <v>1</v>
      </c>
      <c r="F8" s="6" t="inlineStr">
        <is>
          <t>15007083</t>
        </is>
      </c>
      <c r="G8" s="6" t="n">
        <v>1</v>
      </c>
      <c r="H8" s="6" t="inlineStr">
        <is>
          <t>АоРПИ 720</t>
        </is>
      </c>
      <c r="I8" s="5" t="inlineStr">
        <is>
          <t>1448</t>
        </is>
      </c>
      <c r="J8" s="5" t="inlineStr">
        <is>
          <t>720-3120-ЭС2-ВК-ЧНД</t>
        </is>
      </c>
      <c r="K8" s="6" t="inlineStr">
        <is>
          <t>Подписан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  <c r="O8" s="6" t="inlineStr">
        <is>
          <t>CHENGDA-MU-IC-1448</t>
        </is>
      </c>
      <c r="P8" s="6" t="inlineStr">
        <is>
          <t>720-3120-ЭС2-ВК-ЧНД</t>
        </is>
      </c>
      <c r="Q8" s="6" t="n"/>
      <c r="R8" s="15" t="inlineStr">
        <is>
          <t>Совпадает</t>
        </is>
      </c>
    </row>
    <row r="9" ht="26.4" customHeight="1" s="19">
      <c r="A9" s="6" t="inlineStr">
        <is>
          <t>1.1 яч. 104 ТН1</t>
        </is>
      </c>
      <c r="B9" s="6" t="inlineStr">
        <is>
          <t>Ячейка КРУ-10 кВ (в составе КРУ 22 ячейки, VS1-EZ-12, Бреслер-0107)</t>
        </is>
      </c>
      <c r="C9" s="6" t="inlineStr">
        <is>
          <t>КРУ-ЭЗ-10-40 (Энергозащита)</t>
        </is>
      </c>
      <c r="D9" s="6" t="inlineStr">
        <is>
          <t>шт</t>
        </is>
      </c>
      <c r="E9" s="6" t="n">
        <v>1</v>
      </c>
      <c r="F9" s="6" t="inlineStr">
        <is>
          <t>15007075</t>
        </is>
      </c>
      <c r="G9" s="6" t="n">
        <v>1</v>
      </c>
      <c r="H9" s="6" t="inlineStr">
        <is>
          <t>АоРПИ 720</t>
        </is>
      </c>
      <c r="I9" s="5" t="inlineStr">
        <is>
          <t>1448</t>
        </is>
      </c>
      <c r="J9" s="5" t="inlineStr">
        <is>
          <t>720-3120-ЭС2-ВК-ЧНД</t>
        </is>
      </c>
      <c r="K9" s="6" t="inlineStr">
        <is>
          <t>Подписан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  <c r="O9" s="6" t="inlineStr">
        <is>
          <t>CHENGDA-MU-IC-1448</t>
        </is>
      </c>
      <c r="P9" s="6" t="inlineStr">
        <is>
          <t>720-3120-ЭС2-ВК-ЧНД</t>
        </is>
      </c>
      <c r="Q9" s="6" t="n"/>
      <c r="R9" s="15" t="inlineStr">
        <is>
          <t>Совпадает</t>
        </is>
      </c>
    </row>
    <row r="10" ht="26.4" customHeight="1" s="19">
      <c r="A10" s="6" t="inlineStr">
        <is>
          <t>1.1 яч. 105 Ввод 1</t>
        </is>
      </c>
      <c r="B10" s="6" t="inlineStr">
        <is>
          <t>Ячейка КРУ-10 кВ (в составе КРУ 22 ячейки, VS1-EZ-12, Бреслер-0107)</t>
        </is>
      </c>
      <c r="C10" s="6" t="inlineStr">
        <is>
          <t>КРУ-ЭЗ-10-40 (Энергозащита)</t>
        </is>
      </c>
      <c r="D10" s="6" t="inlineStr">
        <is>
          <t>шт</t>
        </is>
      </c>
      <c r="E10" s="6" t="n">
        <v>1</v>
      </c>
      <c r="F10" s="6" t="inlineStr">
        <is>
          <t>15007063</t>
        </is>
      </c>
      <c r="G10" s="6" t="n">
        <v>1</v>
      </c>
      <c r="H10" s="6" t="inlineStr">
        <is>
          <t>АоРПИ 720</t>
        </is>
      </c>
      <c r="I10" s="5" t="inlineStr">
        <is>
          <t>1448</t>
        </is>
      </c>
      <c r="J10" s="5" t="inlineStr">
        <is>
          <t>720-3120-ЭС2-ВК-ЧНД</t>
        </is>
      </c>
      <c r="K10" s="6" t="inlineStr">
        <is>
          <t>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  <c r="O10" s="6" t="inlineStr">
        <is>
          <t>CHENGDA-MU-IC-1448</t>
        </is>
      </c>
      <c r="P10" s="6" t="inlineStr">
        <is>
          <t>720-3120-ЭС2-ВК-ЧНД</t>
        </is>
      </c>
      <c r="Q10" s="6" t="n"/>
      <c r="R10" s="15" t="inlineStr">
        <is>
          <t>Совпадает</t>
        </is>
      </c>
    </row>
    <row r="11" ht="26.4" customHeight="1" s="19">
      <c r="A11" s="6" t="inlineStr">
        <is>
          <t>1.1 яч. 106 СВ1-3</t>
        </is>
      </c>
      <c r="B11" s="6" t="inlineStr">
        <is>
          <t>Ячейка КРУ-10 кВ (в составе КРУ 22 ячейки, VS1-EZ-12, Бреслер-0107)</t>
        </is>
      </c>
      <c r="C11" s="6" t="inlineStr">
        <is>
          <t>КРУ-ЭЗ-10-40 (Энергозащита)</t>
        </is>
      </c>
      <c r="D11" s="6" t="inlineStr">
        <is>
          <t>шт</t>
        </is>
      </c>
      <c r="E11" s="6" t="n">
        <v>1</v>
      </c>
      <c r="F11" s="6" t="inlineStr">
        <is>
          <t>15007071</t>
        </is>
      </c>
      <c r="G11" s="6" t="n">
        <v>1</v>
      </c>
      <c r="H11" s="6" t="inlineStr">
        <is>
          <t>АоРПИ 720</t>
        </is>
      </c>
      <c r="I11" s="5" t="inlineStr">
        <is>
          <t>1448</t>
        </is>
      </c>
      <c r="J11" s="5" t="inlineStr">
        <is>
          <t>720-3120-ЭС2-ВК-ЧНД</t>
        </is>
      </c>
      <c r="K11" s="6" t="inlineStr">
        <is>
          <t>Подписан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  <c r="O11" s="6" t="inlineStr">
        <is>
          <t>CHENGDA-MU-IC-1448</t>
        </is>
      </c>
      <c r="P11" s="6" t="inlineStr">
        <is>
          <t>720-3120-ЭС2-ВК-ЧНД</t>
        </is>
      </c>
      <c r="Q11" s="6" t="n"/>
      <c r="R11" s="15" t="inlineStr">
        <is>
          <t>Совпадает</t>
        </is>
      </c>
    </row>
    <row r="12" ht="26.4" customHeight="1" s="19">
      <c r="A12" s="6" t="inlineStr">
        <is>
          <t>1.1 яч. 201 СВ2-4</t>
        </is>
      </c>
      <c r="B12" s="6" t="inlineStr">
        <is>
          <t>Ячейка КРУ-10 кВ (в составе КРУ 22 ячейки, VS1-EZ-12, Бреслер-0107)</t>
        </is>
      </c>
      <c r="C12" s="6" t="inlineStr">
        <is>
          <t>КРУ-ЭЗ-10-40 (Энергозащита)</t>
        </is>
      </c>
      <c r="D12" s="6" t="inlineStr">
        <is>
          <t>шт</t>
        </is>
      </c>
      <c r="E12" s="6" t="n">
        <v>1</v>
      </c>
      <c r="F12" s="6" t="inlineStr">
        <is>
          <t>15007072</t>
        </is>
      </c>
      <c r="G12" s="6" t="n">
        <v>1</v>
      </c>
      <c r="H12" s="6" t="inlineStr">
        <is>
          <t>АоРПИ 720</t>
        </is>
      </c>
      <c r="I12" s="5" t="inlineStr">
        <is>
          <t>1448</t>
        </is>
      </c>
      <c r="J12" s="5" t="inlineStr">
        <is>
          <t>720-3120-ЭС2-ВК-ЧНД</t>
        </is>
      </c>
      <c r="K12" s="6" t="inlineStr">
        <is>
          <t>Подписан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  <c r="O12" s="6" t="inlineStr">
        <is>
          <t>CHENGDA-MU-IC-1448</t>
        </is>
      </c>
      <c r="P12" s="6" t="inlineStr">
        <is>
          <t>720-3120-ЭС2-ВК-ЧНД</t>
        </is>
      </c>
      <c r="Q12" s="6" t="n"/>
      <c r="R12" s="15" t="inlineStr">
        <is>
          <t>Совпадает</t>
        </is>
      </c>
    </row>
    <row r="13" ht="26.4" customHeight="1" s="19">
      <c r="A13" s="6" t="inlineStr">
        <is>
          <t>1.1 яч. 202 ТН2</t>
        </is>
      </c>
      <c r="B13" s="6" t="inlineStr">
        <is>
          <t>Ячейка КРУ-10 кВ (в составе КРУ 22 ячейки, VS1-EZ-12, Бреслер-0107)</t>
        </is>
      </c>
      <c r="C13" s="6" t="inlineStr">
        <is>
          <t>КРУ-ЭЗ-10-40 (Энергозащита)</t>
        </is>
      </c>
      <c r="D13" s="6" t="inlineStr">
        <is>
          <t>шт</t>
        </is>
      </c>
      <c r="E13" s="6" t="n">
        <v>1</v>
      </c>
      <c r="F13" s="6" t="inlineStr">
        <is>
          <t>15007076</t>
        </is>
      </c>
      <c r="G13" s="6" t="n">
        <v>1</v>
      </c>
      <c r="H13" s="6" t="inlineStr">
        <is>
          <t>АоРПИ 720</t>
        </is>
      </c>
      <c r="I13" s="5" t="inlineStr">
        <is>
          <t>1448</t>
        </is>
      </c>
      <c r="J13" s="5" t="inlineStr">
        <is>
          <t>720-3120-ЭС2-ВК-ЧНД</t>
        </is>
      </c>
      <c r="K13" s="6" t="inlineStr">
        <is>
          <t>Подписан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  <c r="O13" s="6" t="inlineStr">
        <is>
          <t>CHENGDA-MU-IC-1448</t>
        </is>
      </c>
      <c r="P13" s="6" t="inlineStr">
        <is>
          <t>720-3120-ЭС2-ВК-ЧНД</t>
        </is>
      </c>
      <c r="Q13" s="6" t="n"/>
      <c r="R13" s="15" t="inlineStr">
        <is>
          <t>Совпадает</t>
        </is>
      </c>
    </row>
    <row r="14" ht="26.4" customHeight="1" s="19">
      <c r="A14" s="6" t="inlineStr">
        <is>
          <t>1.1 яч. 203 Ввод 2</t>
        </is>
      </c>
      <c r="B14" s="6" t="inlineStr">
        <is>
          <t>Ячейка КРУ-10 кВ (в составе КРУ 22 ячейки, VS1-EZ-12, Бреслер-0107)</t>
        </is>
      </c>
      <c r="C14" s="6" t="inlineStr">
        <is>
          <t>КРУ-ЭЗ-10-40 (Энергозащита)</t>
        </is>
      </c>
      <c r="D14" s="6" t="inlineStr">
        <is>
          <t>шт</t>
        </is>
      </c>
      <c r="E14" s="6" t="n">
        <v>1</v>
      </c>
      <c r="F14" s="6" t="inlineStr">
        <is>
          <t>15007064</t>
        </is>
      </c>
      <c r="G14" s="6" t="n">
        <v>1</v>
      </c>
      <c r="H14" s="6" t="inlineStr">
        <is>
          <t>АоРПИ 720</t>
        </is>
      </c>
      <c r="I14" s="5" t="inlineStr">
        <is>
          <t>1448</t>
        </is>
      </c>
      <c r="J14" s="5" t="inlineStr">
        <is>
          <t>720-3120-ЭС2-ВК-ЧНД</t>
        </is>
      </c>
      <c r="K14" s="6" t="inlineStr">
        <is>
          <t>Подписан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CHENGDA-MU-IC-1448</t>
        </is>
      </c>
      <c r="P14" s="6" t="inlineStr">
        <is>
          <t>720-3120-ЭС2-ВК-ЧНД</t>
        </is>
      </c>
      <c r="Q14" s="6" t="n"/>
      <c r="R14" s="15" t="inlineStr">
        <is>
          <t>Совпадает</t>
        </is>
      </c>
    </row>
    <row r="15" ht="26.4" customHeight="1" s="19">
      <c r="A15" s="6" t="inlineStr">
        <is>
          <t>1.1 яч. 204 ОЛ ГТУ ф.1</t>
        </is>
      </c>
      <c r="B15" s="6" t="inlineStr">
        <is>
          <t>Ячейка КРУ-10 кВ (в составе КРУ 22 ячейки, VS1-EZ-12, Бреслер-0107)</t>
        </is>
      </c>
      <c r="C15" s="6" t="inlineStr">
        <is>
          <t>КРУ-ЭЗ-10-40 (Энергозащита)</t>
        </is>
      </c>
      <c r="D15" s="6" t="inlineStr">
        <is>
          <t>шт</t>
        </is>
      </c>
      <c r="E15" s="6" t="n">
        <v>1</v>
      </c>
      <c r="F15" s="6" t="inlineStr">
        <is>
          <t>15007067</t>
        </is>
      </c>
      <c r="G15" s="6" t="n">
        <v>1</v>
      </c>
      <c r="H15" s="6" t="inlineStr">
        <is>
          <t>АоРПИ 720</t>
        </is>
      </c>
      <c r="I15" s="5" t="inlineStr">
        <is>
          <t>1448</t>
        </is>
      </c>
      <c r="J15" s="5" t="inlineStr">
        <is>
          <t>720-3120-ЭС2-ВК-ЧНД</t>
        </is>
      </c>
      <c r="K15" s="6" t="inlineStr">
        <is>
          <t>Подписан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  <c r="O15" s="6" t="inlineStr">
        <is>
          <t>CHENGDA-MU-IC-1448</t>
        </is>
      </c>
      <c r="P15" s="6" t="inlineStr">
        <is>
          <t>720-3120-ЭС2-ВК-ЧНД</t>
        </is>
      </c>
      <c r="Q15" s="6" t="n"/>
      <c r="R15" s="15" t="inlineStr">
        <is>
          <t>Совпадает</t>
        </is>
      </c>
    </row>
    <row r="16" ht="26.4" customHeight="1" s="19">
      <c r="A16" s="6" t="inlineStr">
        <is>
          <t>1.1 яч. 205 ОЛ ДГР-1</t>
        </is>
      </c>
      <c r="B16" s="6" t="inlineStr">
        <is>
          <t>Ячейка КРУ-10 кВ (в составе КРУ 22 ячейки, VS1-EZ-12, Бреслер-0107)</t>
        </is>
      </c>
      <c r="C16" s="6" t="inlineStr">
        <is>
          <t>КРУ-ЭЗ-10-40 (Энергозащита)</t>
        </is>
      </c>
      <c r="D16" s="6" t="inlineStr">
        <is>
          <t>шт</t>
        </is>
      </c>
      <c r="E16" s="6" t="n">
        <v>1</v>
      </c>
      <c r="F16" s="6" t="inlineStr">
        <is>
          <t>15007079</t>
        </is>
      </c>
      <c r="G16" s="6" t="n">
        <v>1</v>
      </c>
      <c r="H16" s="6" t="inlineStr">
        <is>
          <t>АоРПИ 720</t>
        </is>
      </c>
      <c r="I16" s="5" t="inlineStr">
        <is>
          <t>1448</t>
        </is>
      </c>
      <c r="J16" s="5" t="inlineStr">
        <is>
          <t>720-3120-ЭС2-ВК-ЧНД</t>
        </is>
      </c>
      <c r="K16" s="6" t="inlineStr">
        <is>
          <t>Подписан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  <c r="O16" s="6" t="inlineStr">
        <is>
          <t>CHENGDA-MU-IC-1448</t>
        </is>
      </c>
      <c r="P16" s="6" t="inlineStr">
        <is>
          <t>720-3120-ЭС2-ВК-ЧНД</t>
        </is>
      </c>
      <c r="Q16" s="6" t="n"/>
      <c r="R16" s="15" t="inlineStr">
        <is>
          <t>Совпадает</t>
        </is>
      </c>
    </row>
    <row r="17" ht="26.4" customHeight="1" s="19">
      <c r="A17" s="6" t="inlineStr">
        <is>
          <t>1.1 яч. 301 СР1-3</t>
        </is>
      </c>
      <c r="B17" s="6" t="inlineStr">
        <is>
          <t>Ячейка КРУ-10 кВ (в составе КРУ 22 ячейки, VS1-EZ-12, Бреслер-0107)</t>
        </is>
      </c>
      <c r="C17" s="6" t="inlineStr">
        <is>
          <t>КРУ-ЭЗ-10-40 (Энергозащита)</t>
        </is>
      </c>
      <c r="D17" s="6" t="inlineStr">
        <is>
          <t>шт</t>
        </is>
      </c>
      <c r="E17" s="6" t="n">
        <v>1</v>
      </c>
      <c r="F17" s="6" t="inlineStr">
        <is>
          <t>15007073</t>
        </is>
      </c>
      <c r="G17" s="6" t="n">
        <v>1</v>
      </c>
      <c r="H17" s="6" t="inlineStr">
        <is>
          <t>АоРПИ 720</t>
        </is>
      </c>
      <c r="I17" s="5" t="inlineStr">
        <is>
          <t>1448</t>
        </is>
      </c>
      <c r="J17" s="5" t="inlineStr">
        <is>
          <t>720-3120-ЭС2-ВК-ЧНД</t>
        </is>
      </c>
      <c r="K17" s="6" t="inlineStr">
        <is>
          <t>Подписан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  <c r="O17" s="6" t="inlineStr">
        <is>
          <t>CHENGDA-MU-IC-1448</t>
        </is>
      </c>
      <c r="P17" s="6" t="inlineStr">
        <is>
          <t>720-3120-ЭС2-ВК-ЧНД</t>
        </is>
      </c>
      <c r="Q17" s="6" t="n"/>
      <c r="R17" s="15" t="inlineStr">
        <is>
          <t>Совпадает</t>
        </is>
      </c>
    </row>
    <row r="18" ht="26.4" customHeight="1" s="19">
      <c r="A18" s="6" t="inlineStr">
        <is>
          <t>1.1 яч. 302 Ввод 3</t>
        </is>
      </c>
      <c r="B18" s="6" t="inlineStr">
        <is>
          <t>Ячейка КРУ-10 кВ (в составе КРУ 22 ячейки, VS1-EZ-12, Бреслер-0107)</t>
        </is>
      </c>
      <c r="C18" s="6" t="inlineStr">
        <is>
          <t>КРУ-ЭЗ-10-40 (Энергозащита)</t>
        </is>
      </c>
      <c r="D18" s="6" t="inlineStr">
        <is>
          <t>шт</t>
        </is>
      </c>
      <c r="E18" s="6" t="n">
        <v>1</v>
      </c>
      <c r="F18" s="6" t="inlineStr">
        <is>
          <t>15007065</t>
        </is>
      </c>
      <c r="G18" s="6" t="n">
        <v>1</v>
      </c>
      <c r="H18" s="6" t="inlineStr">
        <is>
          <t>АоРПИ 720</t>
        </is>
      </c>
      <c r="I18" s="5" t="inlineStr">
        <is>
          <t>1448</t>
        </is>
      </c>
      <c r="J18" s="5" t="inlineStr">
        <is>
          <t>720-3120-ЭС2-ВК-ЧНД</t>
        </is>
      </c>
      <c r="K18" s="6" t="inlineStr">
        <is>
          <t>Подписан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6" t="n"/>
      <c r="O18" s="6" t="inlineStr">
        <is>
          <t>CHENGDA-MU-IC-1448</t>
        </is>
      </c>
      <c r="P18" s="6" t="inlineStr">
        <is>
          <t>720-3120-ЭС2-ВК-ЧНД</t>
        </is>
      </c>
      <c r="Q18" s="6" t="n"/>
      <c r="R18" s="15" t="inlineStr">
        <is>
          <t>Совпадает</t>
        </is>
      </c>
    </row>
    <row r="19" ht="26.4" customHeight="1" s="19">
      <c r="A19" s="6" t="inlineStr">
        <is>
          <t>1.1 яч. 303 ТН3</t>
        </is>
      </c>
      <c r="B19" s="6" t="inlineStr">
        <is>
          <t>Ячейка КРУ-10 кВ (в составе КРУ 22 ячейки, VS1-EZ-12, Бреслер-0107)</t>
        </is>
      </c>
      <c r="C19" s="6" t="inlineStr">
        <is>
          <t>КРУ-ЭЗ-10-40 (Энергозащита)</t>
        </is>
      </c>
      <c r="D19" s="6" t="inlineStr">
        <is>
          <t>шт</t>
        </is>
      </c>
      <c r="E19" s="6" t="n">
        <v>1</v>
      </c>
      <c r="F19" s="6" t="inlineStr">
        <is>
          <t>15007077</t>
        </is>
      </c>
      <c r="G19" s="6" t="n">
        <v>1</v>
      </c>
      <c r="H19" s="6" t="inlineStr">
        <is>
          <t>АоРПИ 720</t>
        </is>
      </c>
      <c r="I19" s="5" t="inlineStr">
        <is>
          <t>1448</t>
        </is>
      </c>
      <c r="J19" s="5" t="inlineStr">
        <is>
          <t>720-3120-ЭС2-ВК-ЧНД</t>
        </is>
      </c>
      <c r="K19" s="6" t="inlineStr">
        <is>
          <t>Подписан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6" t="n"/>
      <c r="O19" s="6" t="inlineStr">
        <is>
          <t>CHENGDA-MU-IC-1448</t>
        </is>
      </c>
      <c r="P19" s="6" t="inlineStr">
        <is>
          <t>720-3120-ЭС2-ВК-ЧНД</t>
        </is>
      </c>
      <c r="Q19" s="6" t="n"/>
      <c r="R19" s="15" t="inlineStr">
        <is>
          <t>Совпадает</t>
        </is>
      </c>
    </row>
    <row r="20" ht="26.4" customHeight="1" s="19">
      <c r="A20" s="6" t="inlineStr">
        <is>
          <t>1.1 яч. 304 ОЛ ТСН2</t>
        </is>
      </c>
      <c r="B20" s="6" t="inlineStr">
        <is>
          <t>Ячейка КРУ-10 кВ (в составе КРУ 22 ячейки, VS1-EZ-12, Бреслер-0107)</t>
        </is>
      </c>
      <c r="C20" s="6" t="inlineStr">
        <is>
          <t>КРУ-ЭЗ-10-40 (Энергозащита)</t>
        </is>
      </c>
      <c r="D20" s="6" t="inlineStr">
        <is>
          <t>шт</t>
        </is>
      </c>
      <c r="E20" s="6" t="n">
        <v>1</v>
      </c>
      <c r="F20" s="6" t="inlineStr">
        <is>
          <t>15007084</t>
        </is>
      </c>
      <c r="G20" s="6" t="n">
        <v>1</v>
      </c>
      <c r="H20" s="6" t="inlineStr">
        <is>
          <t>АоРПИ 720</t>
        </is>
      </c>
      <c r="I20" s="5" t="inlineStr">
        <is>
          <t>1448</t>
        </is>
      </c>
      <c r="J20" s="5" t="inlineStr">
        <is>
          <t>720-3120-ЭС2-ВК-ЧНД</t>
        </is>
      </c>
      <c r="K20" s="6" t="inlineStr">
        <is>
          <t>Подписан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  <c r="O20" s="6" t="inlineStr">
        <is>
          <t>CHENGDA-MU-IC-1448</t>
        </is>
      </c>
      <c r="P20" s="6" t="inlineStr">
        <is>
          <t>720-3120-ЭС2-ВК-ЧНД</t>
        </is>
      </c>
      <c r="Q20" s="6" t="n"/>
      <c r="R20" s="15" t="inlineStr">
        <is>
          <t>Совпадает</t>
        </is>
      </c>
    </row>
    <row r="21" ht="26.4" customHeight="1" s="19">
      <c r="A21" s="6" t="inlineStr">
        <is>
          <t>1.1 яч. 305 ОЛ резерв</t>
        </is>
      </c>
      <c r="B21" s="6" t="inlineStr">
        <is>
          <t>Ячейка КРУ-10 кВ (в составе КРУ 22 ячейки, VS1-EZ-12, Бреслер-0107)</t>
        </is>
      </c>
      <c r="C21" s="6" t="inlineStr">
        <is>
          <t>КРУ-ЭЗ-10-40 (Энергозащита)</t>
        </is>
      </c>
      <c r="D21" s="6" t="inlineStr">
        <is>
          <t>шт</t>
        </is>
      </c>
      <c r="E21" s="6" t="n">
        <v>1</v>
      </c>
      <c r="F21" s="6" t="inlineStr">
        <is>
          <t>15007082</t>
        </is>
      </c>
      <c r="G21" s="6" t="n">
        <v>1</v>
      </c>
      <c r="H21" s="6" t="inlineStr">
        <is>
          <t>АоРПИ 720</t>
        </is>
      </c>
      <c r="I21" s="5" t="inlineStr">
        <is>
          <t>1448</t>
        </is>
      </c>
      <c r="J21" s="5" t="inlineStr">
        <is>
          <t>720-3120-ЭС2-ВК-ЧНД</t>
        </is>
      </c>
      <c r="K21" s="6" t="inlineStr">
        <is>
          <t>Подписан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  <c r="O21" s="6" t="inlineStr">
        <is>
          <t>CHENGDA-MU-IC-1448</t>
        </is>
      </c>
      <c r="P21" s="6" t="inlineStr">
        <is>
          <t>720-3120-ЭС2-ВК-ЧНД</t>
        </is>
      </c>
      <c r="Q21" s="6" t="n"/>
      <c r="R21" s="15" t="inlineStr">
        <is>
          <t>Совпадает</t>
        </is>
      </c>
    </row>
    <row r="22" ht="26.4" customHeight="1" s="19">
      <c r="A22" s="6" t="inlineStr">
        <is>
          <t>1.1 яч. 306 Резерв</t>
        </is>
      </c>
      <c r="B22" s="6" t="inlineStr">
        <is>
          <t>Ячейка КРУ-10 кВ (в составе КРУ 22 ячейки, VS1-EZ-12, Бреслер-0107)</t>
        </is>
      </c>
      <c r="C22" s="6" t="inlineStr">
        <is>
          <t>КРУ-ЭЗ-10-40 (Энергозащита)</t>
        </is>
      </c>
      <c r="D22" s="6" t="inlineStr">
        <is>
          <t>шт</t>
        </is>
      </c>
      <c r="E22" s="6" t="n">
        <v>1</v>
      </c>
      <c r="F22" s="6" t="inlineStr">
        <is>
          <t>15007070</t>
        </is>
      </c>
      <c r="G22" s="6" t="n">
        <v>1</v>
      </c>
      <c r="H22" s="6" t="inlineStr">
        <is>
          <t>АоРПИ 720</t>
        </is>
      </c>
      <c r="I22" s="5" t="inlineStr">
        <is>
          <t>1448</t>
        </is>
      </c>
      <c r="J22" s="5" t="inlineStr">
        <is>
          <t>720-3120-ЭС2-ВК-ЧНД</t>
        </is>
      </c>
      <c r="K22" s="6" t="inlineStr">
        <is>
          <t>Подписан</t>
        </is>
      </c>
      <c r="L22" s="6">
        <f>IF(F22="",IF(J22="-","Нет зав. №, нет АоРПИ","Нет зав. №"),IF(G22&lt;E22,"Зав. № не все ("&amp;G22&amp;" из "&amp;E22&amp;")",IF(J22="-","Зав. № есть, АоРПИ нет",IF(K22="Подписан","ОК: зав. № + АоРПИ подписан","Зав. № есть, АоРПИ не подписан"))))</f>
        <v/>
      </c>
      <c r="M22" s="6" t="n"/>
      <c r="N22" s="6" t="n"/>
      <c r="O22" s="6" t="inlineStr">
        <is>
          <t>CHENGDA-MU-IC-1448</t>
        </is>
      </c>
      <c r="P22" s="6" t="inlineStr">
        <is>
          <t>720-3120-ЭС2-ВК-ЧНД</t>
        </is>
      </c>
      <c r="Q22" s="6" t="n"/>
      <c r="R22" s="15" t="inlineStr">
        <is>
          <t>Совпадает</t>
        </is>
      </c>
    </row>
    <row r="23" ht="26.4" customHeight="1" s="19">
      <c r="A23" s="6" t="inlineStr">
        <is>
          <t>1.1 яч. 401 ОЛ ДГР-4</t>
        </is>
      </c>
      <c r="B23" s="6" t="inlineStr">
        <is>
          <t>Ячейка КРУ-10 кВ (в составе КРУ 22 ячейки, VS1-EZ-12, Бреслер-0107)</t>
        </is>
      </c>
      <c r="C23" s="6" t="inlineStr">
        <is>
          <t>КРУ-ЭЗ-10-40 (Энергозащита)</t>
        </is>
      </c>
      <c r="D23" s="6" t="inlineStr">
        <is>
          <t>шт</t>
        </is>
      </c>
      <c r="E23" s="6" t="n">
        <v>1</v>
      </c>
      <c r="F23" s="6" t="inlineStr">
        <is>
          <t>15007080</t>
        </is>
      </c>
      <c r="G23" s="6" t="n">
        <v>1</v>
      </c>
      <c r="H23" s="6" t="inlineStr">
        <is>
          <t>АоРПИ 720</t>
        </is>
      </c>
      <c r="I23" s="5" t="inlineStr">
        <is>
          <t>1448</t>
        </is>
      </c>
      <c r="J23" s="5" t="inlineStr">
        <is>
          <t>720-3120-ЭС2-ВК-ЧНД</t>
        </is>
      </c>
      <c r="K23" s="6" t="inlineStr">
        <is>
          <t>Подписан</t>
        </is>
      </c>
      <c r="L23" s="6">
        <f>IF(F23="",IF(J23="-","Нет зав. №, нет АоРПИ","Нет зав. №"),IF(G23&lt;E23,"Зав. № не все ("&amp;G23&amp;" из "&amp;E23&amp;")",IF(J23="-","Зав. № есть, АоРПИ нет",IF(K23="Подписан","ОК: зав. № + АоРПИ подписан","Зав. № есть, АоРПИ не подписан"))))</f>
        <v/>
      </c>
      <c r="M23" s="6" t="n"/>
      <c r="N23" s="6" t="n"/>
      <c r="O23" s="6" t="inlineStr">
        <is>
          <t>CHENGDA-MU-IC-1448</t>
        </is>
      </c>
      <c r="P23" s="6" t="inlineStr">
        <is>
          <t>720-3120-ЭС2-ВК-ЧНД</t>
        </is>
      </c>
      <c r="Q23" s="6" t="n"/>
      <c r="R23" s="15" t="inlineStr">
        <is>
          <t>Совпадает</t>
        </is>
      </c>
    </row>
    <row r="24" ht="26.4" customHeight="1" s="19">
      <c r="A24" s="6" t="inlineStr">
        <is>
          <t>1.1 яч. 402 ОЛ ГТУ ф.2</t>
        </is>
      </c>
      <c r="B24" s="6" t="inlineStr">
        <is>
          <t>Ячейка КРУ-10 кВ (в составе КРУ 22 ячейки, VS1-EZ-12, Бреслер-0107)</t>
        </is>
      </c>
      <c r="C24" s="6" t="inlineStr">
        <is>
          <t>КРУ-ЭЗ-10-40 (Энергозащита)</t>
        </is>
      </c>
      <c r="D24" s="6" t="inlineStr">
        <is>
          <t>шт</t>
        </is>
      </c>
      <c r="E24" s="6" t="n">
        <v>1</v>
      </c>
      <c r="F24" s="6" t="inlineStr">
        <is>
          <t>15007068</t>
        </is>
      </c>
      <c r="G24" s="6" t="n">
        <v>1</v>
      </c>
      <c r="H24" s="6" t="inlineStr">
        <is>
          <t>АоРПИ 720</t>
        </is>
      </c>
      <c r="I24" s="5" t="inlineStr">
        <is>
          <t>1448</t>
        </is>
      </c>
      <c r="J24" s="5" t="inlineStr">
        <is>
          <t>720-3120-ЭС2-ВК-ЧНД</t>
        </is>
      </c>
      <c r="K24" s="6" t="inlineStr">
        <is>
          <t>Подписан</t>
        </is>
      </c>
      <c r="L24" s="6">
        <f>IF(F24="",IF(J24="-","Нет зав. №, нет АоРПИ","Нет зав. №"),IF(G24&lt;E24,"Зав. № не все ("&amp;G24&amp;" из "&amp;E24&amp;")",IF(J24="-","Зав. № есть, АоРПИ нет",IF(K24="Подписан","ОК: зав. № + АоРПИ подписан","Зав. № есть, АоРПИ не подписан"))))</f>
        <v/>
      </c>
      <c r="M24" s="6" t="n"/>
      <c r="N24" s="6" t="n"/>
      <c r="O24" s="6" t="inlineStr">
        <is>
          <t>CHENGDA-MU-IC-1448</t>
        </is>
      </c>
      <c r="P24" s="6" t="inlineStr">
        <is>
          <t>720-3120-ЭС2-ВК-ЧНД</t>
        </is>
      </c>
      <c r="Q24" s="6" t="n"/>
      <c r="R24" s="15" t="inlineStr">
        <is>
          <t>Совпадает</t>
        </is>
      </c>
    </row>
    <row r="25" ht="26.4" customHeight="1" s="19">
      <c r="A25" s="6" t="inlineStr">
        <is>
          <t>1.1 яч. 403 Ввод 4</t>
        </is>
      </c>
      <c r="B25" s="6" t="inlineStr">
        <is>
          <t>Ячейка КРУ-10 кВ (в составе КРУ 22 ячейки, VS1-EZ-12, Бреслер-0107)</t>
        </is>
      </c>
      <c r="C25" s="6" t="inlineStr">
        <is>
          <t>КРУ-ЭЗ-10-40 (Энергозащита)</t>
        </is>
      </c>
      <c r="D25" s="6" t="inlineStr">
        <is>
          <t>шт</t>
        </is>
      </c>
      <c r="E25" s="6" t="n">
        <v>1</v>
      </c>
      <c r="F25" s="6" t="inlineStr">
        <is>
          <t>15007066</t>
        </is>
      </c>
      <c r="G25" s="6" t="n">
        <v>1</v>
      </c>
      <c r="H25" s="6" t="inlineStr">
        <is>
          <t>АоРПИ 720</t>
        </is>
      </c>
      <c r="I25" s="5" t="inlineStr">
        <is>
          <t>1448</t>
        </is>
      </c>
      <c r="J25" s="5" t="inlineStr">
        <is>
          <t>720-3120-ЭС2-ВК-ЧНД</t>
        </is>
      </c>
      <c r="K25" s="6" t="inlineStr">
        <is>
          <t>Подписан</t>
        </is>
      </c>
      <c r="L25" s="6">
        <f>IF(F25="",IF(J25="-","Нет зав. №, нет АоРПИ","Нет зав. №"),IF(G25&lt;E25,"Зав. № не все ("&amp;G25&amp;" из "&amp;E25&amp;")",IF(J25="-","Зав. № есть, АоРПИ нет",IF(K25="Подписан","ОК: зав. № + АоРПИ подписан","Зав. № есть, АоРПИ не подписан"))))</f>
        <v/>
      </c>
      <c r="M25" s="6" t="n"/>
      <c r="N25" s="6" t="n"/>
      <c r="O25" s="6" t="inlineStr">
        <is>
          <t>CHENGDA-MU-IC-1448</t>
        </is>
      </c>
      <c r="P25" s="6" t="inlineStr">
        <is>
          <t>720-3120-ЭС2-ВК-ЧНД</t>
        </is>
      </c>
      <c r="Q25" s="6" t="n"/>
      <c r="R25" s="15" t="inlineStr">
        <is>
          <t>Совпадает</t>
        </is>
      </c>
    </row>
    <row r="26" ht="26.4" customHeight="1" s="19">
      <c r="A26" s="6" t="inlineStr">
        <is>
          <t>1.1 яч. 404 ТН4</t>
        </is>
      </c>
      <c r="B26" s="6" t="inlineStr">
        <is>
          <t>Ячейка КРУ-10 кВ (в составе КРУ 22 ячейки, VS1-EZ-12, Бреслер-0107)</t>
        </is>
      </c>
      <c r="C26" s="6" t="inlineStr">
        <is>
          <t>КРУ-ЭЗ-10-40 (Энергозащита)</t>
        </is>
      </c>
      <c r="D26" s="6" t="inlineStr">
        <is>
          <t>шт</t>
        </is>
      </c>
      <c r="E26" s="6" t="n">
        <v>1</v>
      </c>
      <c r="F26" s="6" t="inlineStr">
        <is>
          <t>15007078</t>
        </is>
      </c>
      <c r="G26" s="6" t="n">
        <v>1</v>
      </c>
      <c r="H26" s="6" t="inlineStr">
        <is>
          <t>АоРПИ 720</t>
        </is>
      </c>
      <c r="I26" s="5" t="inlineStr">
        <is>
          <t>1448</t>
        </is>
      </c>
      <c r="J26" s="5" t="inlineStr">
        <is>
          <t>720-3120-ЭС2-ВК-ЧНД</t>
        </is>
      </c>
      <c r="K26" s="6" t="inlineStr">
        <is>
          <t>Подписан</t>
        </is>
      </c>
      <c r="L26" s="6">
        <f>IF(F26="",IF(J26="-","Нет зав. №, нет АоРПИ","Нет зав. №"),IF(G26&lt;E26,"Зав. № не все ("&amp;G26&amp;" из "&amp;E26&amp;")",IF(J26="-","Зав. № есть, АоРПИ нет",IF(K26="Подписан","ОК: зав. № + АоРПИ подписан","Зав. № есть, АоРПИ не подписан"))))</f>
        <v/>
      </c>
      <c r="M26" s="6" t="n"/>
      <c r="N26" s="6" t="n"/>
      <c r="O26" s="6" t="inlineStr">
        <is>
          <t>CHENGDA-MU-IC-1448</t>
        </is>
      </c>
      <c r="P26" s="6" t="inlineStr">
        <is>
          <t>720-3120-ЭС2-ВК-ЧНД</t>
        </is>
      </c>
      <c r="Q26" s="6" t="n"/>
      <c r="R26" s="15" t="inlineStr">
        <is>
          <t>Совпадает</t>
        </is>
      </c>
    </row>
    <row r="27" ht="26.4" customHeight="1" s="19">
      <c r="A27" s="6" t="inlineStr">
        <is>
          <t>1.1 яч. 405 СР2-4</t>
        </is>
      </c>
      <c r="B27" s="6" t="inlineStr">
        <is>
          <t>Ячейка КРУ-10 кВ (в составе КРУ 22 ячейки, VS1-EZ-12, Бреслер-0107)</t>
        </is>
      </c>
      <c r="C27" s="6" t="inlineStr">
        <is>
          <t>КРУ-ЭЗ-10-40 (Энергозащита)</t>
        </is>
      </c>
      <c r="D27" s="6" t="inlineStr">
        <is>
          <t>шт</t>
        </is>
      </c>
      <c r="E27" s="6" t="n">
        <v>1</v>
      </c>
      <c r="F27" s="6" t="inlineStr">
        <is>
          <t>15007074</t>
        </is>
      </c>
      <c r="G27" s="6" t="n">
        <v>1</v>
      </c>
      <c r="H27" s="6" t="inlineStr">
        <is>
          <t>АоРПИ 720</t>
        </is>
      </c>
      <c r="I27" s="5" t="inlineStr">
        <is>
          <t>1448</t>
        </is>
      </c>
      <c r="J27" s="5" t="inlineStr">
        <is>
          <t>720-3120-ЭС2-ВК-ЧНД</t>
        </is>
      </c>
      <c r="K27" s="6" t="inlineStr">
        <is>
          <t>Подписан</t>
        </is>
      </c>
      <c r="L27" s="6">
        <f>IF(F27="",IF(J27="-","Нет зав. №, нет АоРПИ","Нет зав. №"),IF(G27&lt;E27,"Зав. № не все ("&amp;G27&amp;" из "&amp;E27&amp;")",IF(J27="-","Зав. № есть, АоРПИ нет",IF(K27="Подписан","ОК: зав. № + АоРПИ подписан","Зав. № есть, АоРПИ не подписан"))))</f>
        <v/>
      </c>
      <c r="M27" s="6" t="n"/>
      <c r="N27" s="6" t="n"/>
      <c r="O27" s="6" t="inlineStr">
        <is>
          <t>CHENGDA-MU-IC-1448</t>
        </is>
      </c>
      <c r="P27" s="6" t="inlineStr">
        <is>
          <t>720-3120-ЭС2-ВК-ЧНД</t>
        </is>
      </c>
      <c r="Q27" s="6" t="n"/>
      <c r="R27" s="15" t="inlineStr">
        <is>
          <t>Совпадает</t>
        </is>
      </c>
    </row>
    <row r="28" ht="66" customHeight="1" s="19">
      <c r="A28" s="6" t="inlineStr">
        <is>
          <t>1.2 ШМ-ГТУ-1,2; ШМ-ДГР-2,4; ШМ-Т-1-1,2; ШМ-Т-2-3,4</t>
        </is>
      </c>
      <c r="B28" s="6" t="inlineStr">
        <is>
          <t>Шинный мост вводной 10 кВ, 2000 А</t>
        </is>
      </c>
      <c r="C28" s="6" t="inlineStr">
        <is>
          <t>ВШМ-10-40 (Энергозащита)</t>
        </is>
      </c>
      <c r="D28" s="6" t="inlineStr">
        <is>
          <t>шт</t>
        </is>
      </c>
      <c r="E28" s="6" t="n">
        <v>8</v>
      </c>
      <c r="F28" s="6" t="inlineStr">
        <is>
          <t>15007087 (ГТУ ф.1); 15007088 (ГТУ ф.2); 15007089 (Ввод 1); 15007091 (Ввод 2); 15007090 (Ввод 3); 15007092 (Ввод 4); 15007093 (яч.205); 15007094 (яч.401)</t>
        </is>
      </c>
      <c r="G28" s="6" t="n">
        <v>8</v>
      </c>
      <c r="H28" s="6" t="inlineStr">
        <is>
          <t>АоРПИ 720</t>
        </is>
      </c>
      <c r="I28" s="5" t="inlineStr">
        <is>
          <t>1448</t>
        </is>
      </c>
      <c r="J28" s="5" t="inlineStr">
        <is>
          <t>720-3120-ЭС2-ВК-ЧНД</t>
        </is>
      </c>
      <c r="K28" s="6" t="inlineStr">
        <is>
          <t>Подписан</t>
        </is>
      </c>
      <c r="L28" s="6">
        <f>IF(F28="",IF(J28="-","Нет зав. №, нет АоРПИ","Нет зав. №"),IF(G28&lt;E28,"Зав. № не все ("&amp;G28&amp;" из "&amp;E28&amp;")",IF(J28="-","Зав. № есть, АоРПИ нет",IF(K28="Подписан","ОК: зав. № + АоРПИ подписан","Зав. № есть, АоРПИ не подписан"))))</f>
        <v/>
      </c>
      <c r="M28" s="6" t="inlineStr">
        <is>
          <t>Мосты к яч. 205/401 по АоРПИ — ВШМ-10-40/1250</t>
        </is>
      </c>
      <c r="N28" s="6" t="n"/>
      <c r="O28" s="6" t="inlineStr">
        <is>
          <t>CHENGDA-MU-IC-1448</t>
        </is>
      </c>
      <c r="P28" s="6" t="inlineStr">
        <is>
          <t>720-3120-ЭС2-ВК-ЧНД</t>
        </is>
      </c>
      <c r="Q28" s="6" t="n"/>
      <c r="R28" s="15" t="inlineStr">
        <is>
          <t>Совпадает</t>
        </is>
      </c>
    </row>
    <row r="29" ht="26.4" customHeight="1" s="19">
      <c r="A29" s="6" t="inlineStr">
        <is>
          <t>1.3 ШМ-С-1, ШМ-С-2</t>
        </is>
      </c>
      <c r="B29" s="6" t="inlineStr">
        <is>
          <t>Шинный мост секционный 10 кВ, 2000 А</t>
        </is>
      </c>
      <c r="C29" s="6" t="inlineStr">
        <is>
          <t>ВШМ-10-40/2000-23 УЗ</t>
        </is>
      </c>
      <c r="D29" s="6" t="inlineStr">
        <is>
          <t>шт</t>
        </is>
      </c>
      <c r="E29" s="6" t="n">
        <v>2</v>
      </c>
      <c r="F29" s="6" t="inlineStr">
        <is>
          <t>15007095 (СВ 1-3); 15007096 (СВ 2-4)</t>
        </is>
      </c>
      <c r="G29" s="6" t="n">
        <v>2</v>
      </c>
      <c r="H29" s="6" t="inlineStr">
        <is>
          <t>АоРПИ 720</t>
        </is>
      </c>
      <c r="I29" s="5" t="inlineStr">
        <is>
          <t>1448</t>
        </is>
      </c>
      <c r="J29" s="5" t="inlineStr">
        <is>
          <t>720-3120-ЭС2-ВК-ЧНД</t>
        </is>
      </c>
      <c r="K29" s="6" t="inlineStr">
        <is>
          <t>Подписан</t>
        </is>
      </c>
      <c r="L29" s="6">
        <f>IF(F29="",IF(J29="-","Нет зав. №, нет АоРПИ","Нет зав. №"),IF(G29&lt;E29,"Зав. № не все ("&amp;G29&amp;" из "&amp;E29&amp;")",IF(J29="-","Зав. № есть, АоРПИ нет",IF(K29="Подписан","ОК: зав. № + АоРПИ подписан","Зав. № есть, АоРПИ не подписан"))))</f>
        <v/>
      </c>
      <c r="M29" s="6" t="n"/>
      <c r="N29" s="6" t="n"/>
      <c r="O29" s="6" t="inlineStr">
        <is>
          <t>CHENGDA-MU-IC-1448</t>
        </is>
      </c>
      <c r="P29" s="6" t="inlineStr">
        <is>
          <t>720-3120-ЭС2-ВК-ЧНД</t>
        </is>
      </c>
      <c r="Q29" s="6" t="n"/>
      <c r="R29" s="15" t="inlineStr">
        <is>
          <t>Совпадает</t>
        </is>
      </c>
    </row>
    <row r="30" ht="26.4" customHeight="1" s="19">
      <c r="A30" s="6" t="inlineStr">
        <is>
          <t>1.4</t>
        </is>
      </c>
      <c r="B30" s="6" t="inlineStr">
        <is>
          <t>Дугогасящий реактор 500 кВА, 11/√3 кВ</t>
        </is>
      </c>
      <c r="C30" s="6" t="inlineStr">
        <is>
          <t>РДМР-500/10 У1</t>
        </is>
      </c>
      <c r="D30" s="6" t="inlineStr">
        <is>
          <t>шт</t>
        </is>
      </c>
      <c r="E30" s="6" t="n">
        <v>2</v>
      </c>
      <c r="F30" s="6" t="inlineStr">
        <is>
          <t>975; 976</t>
        </is>
      </c>
      <c r="G30" s="6" t="n">
        <v>2</v>
      </c>
      <c r="H30" s="6" t="inlineStr">
        <is>
          <t>АоРПИ 651 / RFI 1380</t>
        </is>
      </c>
      <c r="I30" s="5" t="inlineStr">
        <is>
          <t>1380</t>
        </is>
      </c>
      <c r="J30" s="5" t="inlineStr">
        <is>
          <t>651-3120-ЭС2-ВК-ЧНД</t>
        </is>
      </c>
      <c r="K30" s="6" t="inlineStr">
        <is>
          <t>Подписан</t>
        </is>
      </c>
      <c r="L30" s="6">
        <f>IF(F30="",IF(J30="-","Нет зав. №, нет АоРПИ","Нет зав. №"),IF(G30&lt;E30,"Зав. № не все ("&amp;G30&amp;" из "&amp;E30&amp;")",IF(J30="-","Зав. № есть, АоРПИ нет",IF(K30="Подписан","ОК: зав. № + АоРПИ подписан","Зав. № есть, АоРПИ не подписан"))))</f>
        <v/>
      </c>
      <c r="M30" s="6" t="n"/>
      <c r="N30" s="6" t="n"/>
      <c r="O30" s="6" t="inlineStr">
        <is>
          <t>CHENGDA-MU-IC-1380</t>
        </is>
      </c>
      <c r="P30" s="6" t="inlineStr">
        <is>
          <t>651-3120-ЭС2-ВК-ЧНД</t>
        </is>
      </c>
      <c r="Q30" s="6" t="n"/>
      <c r="R30" s="15" t="inlineStr">
        <is>
          <t>Совпадает</t>
        </is>
      </c>
    </row>
    <row r="31" ht="26.4" customHeight="1" s="19">
      <c r="A31" s="6" t="inlineStr">
        <is>
          <t>1.5</t>
        </is>
      </c>
      <c r="B31" s="6" t="inlineStr">
        <is>
          <t>Разъединитель однополюсный 35 кВ, 1000 А</t>
        </is>
      </c>
      <c r="C31" s="6" t="inlineStr">
        <is>
          <t>РГ-35II/1000-20УХЛ1</t>
        </is>
      </c>
      <c r="D31" s="6" t="inlineStr">
        <is>
          <t>шт</t>
        </is>
      </c>
      <c r="E31" s="6" t="n">
        <v>2</v>
      </c>
      <c r="F31" s="6" t="inlineStr">
        <is>
          <t>5; 6</t>
        </is>
      </c>
      <c r="G31" s="6" t="n">
        <v>2</v>
      </c>
      <c r="H31" s="6" t="inlineStr">
        <is>
          <t>АоРПИ 651 / RFI 1380</t>
        </is>
      </c>
      <c r="I31" s="5" t="inlineStr">
        <is>
          <t>1380</t>
        </is>
      </c>
      <c r="J31" s="5" t="inlineStr">
        <is>
          <t>651-3120-ЭС2-ВК-ЧНД</t>
        </is>
      </c>
      <c r="K31" s="6" t="inlineStr">
        <is>
          <t>Подписан</t>
        </is>
      </c>
      <c r="L31" s="6">
        <f>IF(F31="",IF(J31="-","Нет зав. №, нет АоРПИ","Нет зав. №"),IF(G31&lt;E31,"Зав. № не все ("&amp;G31&amp;" из "&amp;E31&amp;")",IF(J31="-","Зав. № есть, АоРПИ нет",IF(K31="Подписан","ОК: зав. № + АоРПИ подписан","Зав. № есть, АоРПИ не подписан"))))</f>
        <v/>
      </c>
      <c r="M31" s="6" t="inlineStr">
        <is>
          <t>Включён в АоРПИ 651 (PO-155, RFI 1380)</t>
        </is>
      </c>
      <c r="N31" s="6" t="n"/>
      <c r="O31" s="6" t="inlineStr">
        <is>
          <t>CHENGDA-MU-IC-1380</t>
        </is>
      </c>
      <c r="P31" s="6" t="inlineStr">
        <is>
          <t>651-3120-ЭС2-ВК-ЧНД</t>
        </is>
      </c>
      <c r="Q31" s="6" t="n"/>
      <c r="R31" s="15" t="inlineStr">
        <is>
          <t>Совпадает</t>
        </is>
      </c>
    </row>
    <row r="32" ht="39.6" customHeight="1" s="19">
      <c r="A32" s="6" t="inlineStr">
        <is>
          <t>1.6</t>
        </is>
      </c>
      <c r="B32" s="6" t="inlineStr">
        <is>
          <t>Фильтр заземляющий 500 кВА, 11/√3 кВ (по TQ заменён на трансформатор ТМГ21-630/10-УХЛ1)</t>
        </is>
      </c>
      <c r="C32" s="6" t="inlineStr">
        <is>
          <t>ТМГ21-630/10-УХЛ1</t>
        </is>
      </c>
      <c r="D32" s="6" t="inlineStr">
        <is>
          <t>шт</t>
        </is>
      </c>
      <c r="E32" s="6" t="n">
        <v>2</v>
      </c>
      <c r="F32" s="6" t="inlineStr">
        <is>
          <t>2152742; 2152756</t>
        </is>
      </c>
      <c r="G32" s="6" t="n">
        <v>2</v>
      </c>
      <c r="H32" s="6" t="inlineStr">
        <is>
          <t>АоРПИ 651 / RFI 1380</t>
        </is>
      </c>
      <c r="I32" s="5" t="inlineStr">
        <is>
          <t>1380</t>
        </is>
      </c>
      <c r="J32" s="5" t="inlineStr">
        <is>
          <t>651-3120-ЭС2-ВК-ЧНД</t>
        </is>
      </c>
      <c r="K32" s="6" t="inlineStr">
        <is>
          <t>Подписан</t>
        </is>
      </c>
      <c r="L32" s="6">
        <f>IF(F32="",IF(J32="-","Нет зав. №, нет АоРПИ","Нет зав. №"),IF(G32&lt;E32,"Зав. № не все ("&amp;G32&amp;" из "&amp;E32&amp;")",IF(J32="-","Зав. № есть, АоРПИ нет",IF(K32="Подписан","ОК: зав. № + АоРПИ подписан","Зав. № есть, АоРПИ не подписан"))))</f>
        <v/>
      </c>
      <c r="M32" s="6" t="inlineStr">
        <is>
          <t>По TQ фильтры заменены на трансформаторы ТМГ21-630/10-УХЛ1; в АоРПИ 651 — зав. № 2152742, 2152756 (PO-155, RFI 1380)</t>
        </is>
      </c>
      <c r="N32" s="6" t="n"/>
      <c r="O32" s="6" t="inlineStr">
        <is>
          <t>CHENGDA-MU-IC-1380</t>
        </is>
      </c>
      <c r="P32" s="6" t="inlineStr">
        <is>
          <t>651-3120-ЭС2-ВК-ЧНД</t>
        </is>
      </c>
      <c r="Q32" s="6" t="n"/>
      <c r="R32" s="15" t="inlineStr">
        <is>
          <t>Совпадает</t>
        </is>
      </c>
    </row>
    <row r="33">
      <c r="D33" s="7" t="inlineStr">
        <is>
          <t>Итого</t>
        </is>
      </c>
      <c r="E33" s="7">
        <f>SUM(E6:E32)</f>
        <v/>
      </c>
      <c r="G33" s="7">
        <f>SUM(G6:G32)</f>
        <v/>
      </c>
    </row>
  </sheetData>
  <autoFilter ref="A5:R32"/>
  <conditionalFormatting sqref="F6:F32">
    <cfRule type="expression" priority="5" dxfId="1">
      <formula>$F6=""</formula>
    </cfRule>
  </conditionalFormatting>
  <conditionalFormatting sqref="L6:L32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J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J8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I10" r:id="rId9"/>
    <hyperlink xmlns:r="http://schemas.openxmlformats.org/officeDocument/2006/relationships" ref="J10" r:id="rId10"/>
    <hyperlink xmlns:r="http://schemas.openxmlformats.org/officeDocument/2006/relationships" ref="I11" r:id="rId11"/>
    <hyperlink xmlns:r="http://schemas.openxmlformats.org/officeDocument/2006/relationships" ref="J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J13" r:id="rId16"/>
    <hyperlink xmlns:r="http://schemas.openxmlformats.org/officeDocument/2006/relationships" ref="I14" r:id="rId17"/>
    <hyperlink xmlns:r="http://schemas.openxmlformats.org/officeDocument/2006/relationships" ref="J14" r:id="rId18"/>
    <hyperlink xmlns:r="http://schemas.openxmlformats.org/officeDocument/2006/relationships" ref="I15" r:id="rId19"/>
    <hyperlink xmlns:r="http://schemas.openxmlformats.org/officeDocument/2006/relationships" ref="J15" r:id="rId20"/>
    <hyperlink xmlns:r="http://schemas.openxmlformats.org/officeDocument/2006/relationships" ref="I16" r:id="rId21"/>
    <hyperlink xmlns:r="http://schemas.openxmlformats.org/officeDocument/2006/relationships" ref="J16" r:id="rId22"/>
    <hyperlink xmlns:r="http://schemas.openxmlformats.org/officeDocument/2006/relationships" ref="I17" r:id="rId23"/>
    <hyperlink xmlns:r="http://schemas.openxmlformats.org/officeDocument/2006/relationships" ref="J17" r:id="rId24"/>
    <hyperlink xmlns:r="http://schemas.openxmlformats.org/officeDocument/2006/relationships" ref="I18" r:id="rId25"/>
    <hyperlink xmlns:r="http://schemas.openxmlformats.org/officeDocument/2006/relationships" ref="J18" r:id="rId26"/>
    <hyperlink xmlns:r="http://schemas.openxmlformats.org/officeDocument/2006/relationships" ref="I19" r:id="rId27"/>
    <hyperlink xmlns:r="http://schemas.openxmlformats.org/officeDocument/2006/relationships" ref="J19" r:id="rId28"/>
    <hyperlink xmlns:r="http://schemas.openxmlformats.org/officeDocument/2006/relationships" ref="I20" r:id="rId29"/>
    <hyperlink xmlns:r="http://schemas.openxmlformats.org/officeDocument/2006/relationships" ref="J20" r:id="rId30"/>
    <hyperlink xmlns:r="http://schemas.openxmlformats.org/officeDocument/2006/relationships" ref="I21" r:id="rId31"/>
    <hyperlink xmlns:r="http://schemas.openxmlformats.org/officeDocument/2006/relationships" ref="J21" r:id="rId32"/>
    <hyperlink xmlns:r="http://schemas.openxmlformats.org/officeDocument/2006/relationships" ref="I22" r:id="rId33"/>
    <hyperlink xmlns:r="http://schemas.openxmlformats.org/officeDocument/2006/relationships" ref="J22" r:id="rId34"/>
    <hyperlink xmlns:r="http://schemas.openxmlformats.org/officeDocument/2006/relationships" ref="I23" r:id="rId35"/>
    <hyperlink xmlns:r="http://schemas.openxmlformats.org/officeDocument/2006/relationships" ref="J23" r:id="rId36"/>
    <hyperlink xmlns:r="http://schemas.openxmlformats.org/officeDocument/2006/relationships" ref="I24" r:id="rId37"/>
    <hyperlink xmlns:r="http://schemas.openxmlformats.org/officeDocument/2006/relationships" ref="J24" r:id="rId38"/>
    <hyperlink xmlns:r="http://schemas.openxmlformats.org/officeDocument/2006/relationships" ref="I25" r:id="rId39"/>
    <hyperlink xmlns:r="http://schemas.openxmlformats.org/officeDocument/2006/relationships" ref="J25" r:id="rId40"/>
    <hyperlink xmlns:r="http://schemas.openxmlformats.org/officeDocument/2006/relationships" ref="I26" r:id="rId41"/>
    <hyperlink xmlns:r="http://schemas.openxmlformats.org/officeDocument/2006/relationships" ref="J26" r:id="rId42"/>
    <hyperlink xmlns:r="http://schemas.openxmlformats.org/officeDocument/2006/relationships" ref="I27" r:id="rId43"/>
    <hyperlink xmlns:r="http://schemas.openxmlformats.org/officeDocument/2006/relationships" ref="J27" r:id="rId44"/>
    <hyperlink xmlns:r="http://schemas.openxmlformats.org/officeDocument/2006/relationships" ref="I28" r:id="rId45"/>
    <hyperlink xmlns:r="http://schemas.openxmlformats.org/officeDocument/2006/relationships" ref="J28" r:id="rId46"/>
    <hyperlink xmlns:r="http://schemas.openxmlformats.org/officeDocument/2006/relationships" ref="I29" r:id="rId47"/>
    <hyperlink xmlns:r="http://schemas.openxmlformats.org/officeDocument/2006/relationships" ref="J29" r:id="rId48"/>
    <hyperlink xmlns:r="http://schemas.openxmlformats.org/officeDocument/2006/relationships" ref="I30" r:id="rId49"/>
    <hyperlink xmlns:r="http://schemas.openxmlformats.org/officeDocument/2006/relationships" ref="J30" r:id="rId50"/>
    <hyperlink xmlns:r="http://schemas.openxmlformats.org/officeDocument/2006/relationships" ref="I31" r:id="rId51"/>
    <hyperlink xmlns:r="http://schemas.openxmlformats.org/officeDocument/2006/relationships" ref="J31" r:id="rId52"/>
    <hyperlink xmlns:r="http://schemas.openxmlformats.org/officeDocument/2006/relationships" ref="I32" r:id="rId53"/>
    <hyperlink xmlns:r="http://schemas.openxmlformats.org/officeDocument/2006/relationships" ref="J32" r:id="rId54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Normal="100" workbookViewId="0">
      <pane xSplit="2" ySplit="5" topLeftCell="C13" activePane="bottomRight" state="frozen"/>
      <selection pane="topRight" activeCell="C1" sqref="C1"/>
      <selection pane="bottomLeft" activeCell="A6" sqref="A6"/>
      <selection pane="bottomRight" activeCell="G30" sqref="G30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ЭС3 — оборудование (раздел «Оборудование» спецификации), заводские номера и АоРПИ</t>
        </is>
      </c>
    </row>
    <row r="2">
      <c r="A2" s="14" t="inlineStr">
        <is>
          <t>СО: E19006-CXPP-3120-ЭС3.СО-001, ревизия 4В (папка «Последняя версия 2026-4-4», .xlsx)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 КРУ1, КРУ2</t>
        </is>
      </c>
      <c r="B6" s="6" t="inlineStr">
        <is>
          <t>Ячейка КРУ 10 кВ, 630 А, 40 кА (в помещении ЩСН)</t>
        </is>
      </c>
      <c r="C6" s="6" t="inlineStr">
        <is>
          <t>КРУ-ЭЗ-10-40 (Энергозащита)</t>
        </is>
      </c>
      <c r="D6" s="6" t="inlineStr">
        <is>
          <t>компл.</t>
        </is>
      </c>
      <c r="E6" s="6" t="n">
        <v>2</v>
      </c>
      <c r="F6" s="6" t="inlineStr">
        <is>
          <t>15007085; 15007086</t>
        </is>
      </c>
      <c r="G6" s="6" t="n">
        <v>2</v>
      </c>
      <c r="H6" s="6" t="inlineStr">
        <is>
          <t>АоРПИ 880</t>
        </is>
      </c>
      <c r="I6" s="5" t="inlineStr">
        <is>
          <t>1448</t>
        </is>
      </c>
      <c r="J6" s="5" t="inlineStr">
        <is>
          <t>880-3120-ЭС3-ВК-ЧНД</t>
        </is>
      </c>
      <c r="K6" s="6" t="inlineStr">
        <is>
          <t>Не 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В АоРПИ 880 второй номер записан как «150086» — вероятно 15007086, исправить</t>
        </is>
      </c>
      <c r="N6" s="6" t="n"/>
      <c r="O6" s="6" t="inlineStr">
        <is>
          <t>CHENGDA-MU-IC-1448</t>
        </is>
      </c>
      <c r="P6" s="6" t="inlineStr">
        <is>
          <t>880-3120-ЭС3-ВК-ЧНД</t>
        </is>
      </c>
      <c r="Q6" s="6" t="n"/>
      <c r="R6" s="15" t="inlineStr">
        <is>
          <t>Совпадает</t>
        </is>
      </c>
    </row>
    <row r="7" ht="26.4" customHeight="1" s="19">
      <c r="A7" s="6" t="inlineStr">
        <is>
          <t>1.2 ТСН1, ТСН2</t>
        </is>
      </c>
      <c r="B7" s="6" t="inlineStr">
        <is>
          <t>Трансформатор собственных нужд сухой 400 кВА, 10/0,4 кВ</t>
        </is>
      </c>
      <c r="C7" s="6" t="inlineStr">
        <is>
          <t>ТЛСЗ-400/10 УХЛ2 (СЗТТ)</t>
        </is>
      </c>
      <c r="D7" s="6" t="inlineStr">
        <is>
          <t>компл.</t>
        </is>
      </c>
      <c r="E7" s="6" t="n">
        <v>2</v>
      </c>
      <c r="F7" s="6" t="inlineStr">
        <is>
          <t>5842; 5843</t>
        </is>
      </c>
      <c r="G7" s="6" t="n">
        <v>2</v>
      </c>
      <c r="H7" s="6" t="inlineStr">
        <is>
          <t>АоРПИ 805</t>
        </is>
      </c>
      <c r="I7" s="5" t="inlineStr">
        <is>
          <t>1379</t>
        </is>
      </c>
      <c r="J7" s="5" t="inlineStr">
        <is>
          <t>805-3120-ЭС3-ВК-ЧНД</t>
        </is>
      </c>
      <c r="K7" s="6" t="inlineStr">
        <is>
          <t>Подписан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  <c r="O7" s="6" t="inlineStr">
        <is>
          <t>CHENGDA-MU-IC-1379</t>
        </is>
      </c>
      <c r="P7" s="6" t="inlineStr">
        <is>
          <t>805-3120-ЭС3-ВК-ЧНД подписан</t>
        </is>
      </c>
      <c r="Q7" s="6" t="n"/>
      <c r="R7" s="15" t="inlineStr">
        <is>
          <t>Совпадает</t>
        </is>
      </c>
    </row>
    <row r="8" ht="26.4" customHeight="1" s="19">
      <c r="A8" s="6" t="inlineStr">
        <is>
          <t>ЩСН</t>
        </is>
      </c>
      <c r="B8" s="6" t="inlineStr">
        <is>
          <t>Щит собственных нужд переменного тока 0,4 кВ, двухсекционный</t>
        </is>
      </c>
      <c r="C8" s="6" t="inlineStr">
        <is>
          <t>ЧЭТА</t>
        </is>
      </c>
      <c r="D8" s="6" t="inlineStr">
        <is>
          <t>компл.</t>
        </is>
      </c>
      <c r="E8" s="6" t="n">
        <v>1</v>
      </c>
      <c r="F8" s="6" t="inlineStr">
        <is>
          <t>297-25</t>
        </is>
      </c>
      <c r="G8" s="6" t="n">
        <v>1</v>
      </c>
      <c r="H8" s="6" t="inlineStr">
        <is>
          <t>АоРПИ 806</t>
        </is>
      </c>
      <c r="I8" s="5" t="inlineStr">
        <is>
          <t>1560-2, 1560</t>
        </is>
      </c>
      <c r="J8" s="5" t="inlineStr">
        <is>
          <t>806-3120-ЭС3-ВК-ЧНД</t>
        </is>
      </c>
      <c r="K8" s="6" t="inlineStr">
        <is>
          <t>Подписан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В отклонённом RFI 1560-1 упаковочные листы на щит № 189-25 — уточнить</t>
        </is>
      </c>
      <c r="N8" s="6" t="n"/>
      <c r="O8" s="6" t="inlineStr">
        <is>
          <t>CHENGDA-MU-IC-1560</t>
        </is>
      </c>
      <c r="P8" s="6" t="inlineStr">
        <is>
          <t>806-3120-ЭС3-ВК-ЧНД подписан</t>
        </is>
      </c>
      <c r="Q8" s="6" t="n"/>
      <c r="R8" s="11" t="inlineStr">
        <is>
          <t>RFI 1560 добавлен из сводной</t>
        </is>
      </c>
    </row>
    <row r="9" ht="39.6" customHeight="1" s="19">
      <c r="A9" s="6" t="inlineStr">
        <is>
          <t>1.3 ЩПТ</t>
        </is>
      </c>
      <c r="B9" s="6" t="inlineStr">
        <is>
          <t>Щит системы оперативного постоянного тока, двухсекционный</t>
        </is>
      </c>
      <c r="C9" s="6" t="inlineStr">
        <is>
          <t>ВОЛЬТАГ</t>
        </is>
      </c>
      <c r="D9" s="6" t="inlineStr">
        <is>
          <t>компл.</t>
        </is>
      </c>
      <c r="E9" s="6" t="n">
        <v>1</v>
      </c>
      <c r="F9" s="6" t="inlineStr">
        <is>
          <t>25002 (ЩПТ №1); 25003 (ЩПТ №2)</t>
        </is>
      </c>
      <c r="G9" s="6" t="n">
        <v>2</v>
      </c>
      <c r="H9" s="6" t="inlineStr">
        <is>
          <t>RFI 1403 (паспорта)</t>
        </is>
      </c>
      <c r="I9" s="5" t="inlineStr">
        <is>
          <t>1403</t>
        </is>
      </c>
      <c r="J9" s="5" t="inlineStr">
        <is>
          <t>816-3120-ЭС3-ВК-ЧНД</t>
        </is>
      </c>
      <c r="K9" s="6" t="inlineStr">
        <is>
          <t>Не подписан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inlineStr">
        <is>
          <t>В АоРПИ 816 указан только «ЩПТ №2, зав. № 25002» — по паспортам №2 = 25003. ПНЗП-М: 24220, 24221</t>
        </is>
      </c>
      <c r="N9" s="6" t="n"/>
      <c r="O9" s="6" t="inlineStr">
        <is>
          <t>CHENGDA-MU-IC-1403</t>
        </is>
      </c>
      <c r="P9" s="6" t="inlineStr">
        <is>
          <t>816-3120-ЭС3-ВК-ЧНД</t>
        </is>
      </c>
      <c r="Q9" s="6" t="n"/>
      <c r="R9" s="15" t="inlineStr">
        <is>
          <t>Совпадает</t>
        </is>
      </c>
    </row>
    <row r="10">
      <c r="A10" s="6" t="inlineStr">
        <is>
          <t>1.4</t>
        </is>
      </c>
      <c r="B10" s="6" t="inlineStr">
        <is>
          <t>Стеллаж аккумуляторный двухъярусный</t>
        </is>
      </c>
      <c r="C10" s="6" t="inlineStr">
        <is>
          <t>ACM1-2 (ВОЛЬТАГ)</t>
        </is>
      </c>
      <c r="D10" s="6" t="inlineStr">
        <is>
          <t>компл.</t>
        </is>
      </c>
      <c r="E10" s="6" t="n">
        <v>4</v>
      </c>
      <c r="F10" s="6" t="n"/>
      <c r="G10" s="6" t="n">
        <v>0</v>
      </c>
      <c r="H10" s="6" t="n"/>
      <c r="I10" s="5" t="inlineStr">
        <is>
          <t>1403</t>
        </is>
      </c>
      <c r="J10" s="5" t="inlineStr">
        <is>
          <t>816-3120-ЭС3-ВК-ЧНД</t>
        </is>
      </c>
      <c r="K10" s="6" t="inlineStr">
        <is>
          <t>Не 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  <c r="O10" s="6" t="inlineStr">
        <is>
          <t>CHENGDA-MU-IC-1403</t>
        </is>
      </c>
      <c r="P10" s="6" t="inlineStr">
        <is>
          <t>816-3120-ЭС3-ВК-ЧНД</t>
        </is>
      </c>
      <c r="Q10" s="6" t="n"/>
      <c r="R10" s="15" t="inlineStr">
        <is>
          <t>Совпадает</t>
        </is>
      </c>
    </row>
    <row r="11">
      <c r="A11" s="6" t="inlineStr">
        <is>
          <t>1.5 АБ1, АБ2</t>
        </is>
      </c>
      <c r="B11" s="6" t="inlineStr">
        <is>
          <t>АКБ свинцово-кислотная 490 Ач, 104 эл. по 2 В</t>
        </is>
      </c>
      <c r="C11" s="6" t="inlineStr">
        <is>
          <t>OPzS 490 (ВОЛЬТАГ)</t>
        </is>
      </c>
      <c r="D11" s="6" t="inlineStr">
        <is>
          <t>компл.</t>
        </is>
      </c>
      <c r="E11" s="6" t="n">
        <v>2</v>
      </c>
      <c r="F11" s="6" t="n"/>
      <c r="G11" s="6" t="n">
        <v>0</v>
      </c>
      <c r="H11" s="6" t="n"/>
      <c r="I11" s="5" t="inlineStr">
        <is>
          <t>1403</t>
        </is>
      </c>
      <c r="J11" s="5" t="inlineStr">
        <is>
          <t>816-3120-ЭС3-ВК-ЧНД</t>
        </is>
      </c>
      <c r="K11" s="6" t="inlineStr">
        <is>
          <t>Не подписан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inlineStr">
        <is>
          <t>Зав. № батарей не найдены</t>
        </is>
      </c>
      <c r="N11" s="6" t="n"/>
      <c r="O11" s="6" t="inlineStr">
        <is>
          <t>CHENGDA-MU-IC-1403</t>
        </is>
      </c>
      <c r="P11" s="6" t="inlineStr">
        <is>
          <t>816-3120-ЭС3-ВК-ЧНД</t>
        </is>
      </c>
      <c r="Q11" s="6" t="n"/>
      <c r="R11" s="15" t="inlineStr">
        <is>
          <t>Совпадает</t>
        </is>
      </c>
    </row>
    <row r="12" ht="39.6" customHeight="1" s="19">
      <c r="A12" s="6" t="inlineStr">
        <is>
          <t>1.6 (03L1201)</t>
        </is>
      </c>
      <c r="B12" s="6" t="inlineStr">
        <is>
          <t>Кран мостовой однобалочный подвесной двухпролётный 10 т</t>
        </is>
      </c>
      <c r="C12" s="6" t="inlineStr">
        <is>
          <t>FHU10-15-9 A3</t>
        </is>
      </c>
      <c r="D12" s="6" t="inlineStr">
        <is>
          <t>компл.</t>
        </is>
      </c>
      <c r="E12" s="6" t="n">
        <v>1</v>
      </c>
      <c r="F12" s="6" t="n"/>
      <c r="G12" s="6" t="n">
        <v>0</v>
      </c>
      <c r="H12" s="6" t="n"/>
      <c r="I12" s="5" t="inlineStr">
        <is>
          <t>1292-1, 1292</t>
        </is>
      </c>
      <c r="J12" s="5" t="inlineStr">
        <is>
          <t>526-3121-КЭ-ЧНД</t>
        </is>
      </c>
      <c r="K12" s="6" t="inlineStr">
        <is>
          <t>Не подписан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inlineStr">
        <is>
          <t>В RFI/АоРПИ только индекс крана и тег 03L1201, зав. № нет</t>
        </is>
      </c>
      <c r="N12" s="6" t="n"/>
      <c r="O12" s="6" t="inlineStr">
        <is>
          <t>CHENGDA-MU-IC-1292</t>
        </is>
      </c>
      <c r="P12" s="6" t="n"/>
      <c r="Q12" s="6" t="inlineStr">
        <is>
          <t>Документы отклонены.</t>
        </is>
      </c>
      <c r="R12" s="11" t="inlineStr">
        <is>
          <t>RFI 1292 добавлен из сводной; в сводной АоРПИ не указан, а в папке ВК есть: 526-3121-КЭ</t>
        </is>
      </c>
    </row>
    <row r="13" ht="39.6" customHeight="1" s="19">
      <c r="A13" s="6" t="inlineStr">
        <is>
          <t>1.7</t>
        </is>
      </c>
      <c r="B13" s="6" t="inlineStr">
        <is>
          <t>Шкаф управления краном 400 В, 600х900х220</t>
        </is>
      </c>
      <c r="C13" s="6" t="inlineStr">
        <is>
          <t>FEC22058-06</t>
        </is>
      </c>
      <c r="D13" s="6" t="inlineStr">
        <is>
          <t>компл.</t>
        </is>
      </c>
      <c r="E13" s="6" t="n">
        <v>1</v>
      </c>
      <c r="F13" s="6" t="n"/>
      <c r="G13" s="6" t="n">
        <v>0</v>
      </c>
      <c r="H13" s="6" t="n"/>
      <c r="I13" s="5" t="inlineStr">
        <is>
          <t>1292-1, 1292</t>
        </is>
      </c>
      <c r="J13" s="5" t="inlineStr">
        <is>
          <t>526-3121-КЭ-ЧНД</t>
        </is>
      </c>
      <c r="K13" s="6" t="inlineStr">
        <is>
          <t>Не подписан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  <c r="O13" s="6" t="inlineStr">
        <is>
          <t>CHENGDA-MU-IC-1292</t>
        </is>
      </c>
      <c r="P13" s="6" t="n"/>
      <c r="Q13" s="6" t="inlineStr">
        <is>
          <t>Документов нет.</t>
        </is>
      </c>
      <c r="R13" s="11" t="inlineStr">
        <is>
          <t>RFI 1292 добавлен из сводной; в сводной АоРПИ не указан, а в папке ВК есть: 526-3121-КЭ</t>
        </is>
      </c>
    </row>
    <row r="14" ht="26.4" customHeight="1" s="19">
      <c r="A14" s="6" t="inlineStr">
        <is>
          <t>1.8 DCW1.1N, DCW1.2N</t>
        </is>
      </c>
      <c r="B14" s="6" t="inlineStr">
        <is>
          <t>Ящик с рубильником и штепсельным разъёмом, IP54</t>
        </is>
      </c>
      <c r="C14" s="6" t="inlineStr">
        <is>
          <t>ЯВЗШ-31-100 УХЛ1</t>
        </is>
      </c>
      <c r="D14" s="6" t="inlineStr">
        <is>
          <t>компл.</t>
        </is>
      </c>
      <c r="E14" s="6" t="n">
        <v>2</v>
      </c>
      <c r="F14" s="6" t="n"/>
      <c r="G14" s="6" t="n">
        <v>0</v>
      </c>
      <c r="H14" s="6" t="n"/>
      <c r="I14" s="6" t="inlineStr">
        <is>
          <t>1541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CHENGDA-MU-IC-1541</t>
        </is>
      </c>
      <c r="P14" s="6" t="n"/>
      <c r="Q14" s="6" t="inlineStr">
        <is>
          <t>Документов нет, есть серьезные замечания к шкафам.</t>
        </is>
      </c>
      <c r="R14" s="11" t="inlineStr">
        <is>
          <t>RFI 1541 добавлен из сводной</t>
        </is>
      </c>
    </row>
    <row r="15" ht="26.4" customHeight="1" s="19">
      <c r="A15" s="6" t="inlineStr">
        <is>
          <t>1.9 DCW2.1N…DCW3.2N</t>
        </is>
      </c>
      <c r="B15" s="6" t="inlineStr">
        <is>
          <t>Ящик с рубильником и штепсельным разъёмом, IP31</t>
        </is>
      </c>
      <c r="C15" s="6" t="inlineStr">
        <is>
          <t>ЯВЗШ-31-100 УХЛ4</t>
        </is>
      </c>
      <c r="D15" s="6" t="inlineStr">
        <is>
          <t>компл.</t>
        </is>
      </c>
      <c r="E15" s="6" t="n">
        <v>6</v>
      </c>
      <c r="F15" s="6" t="n"/>
      <c r="G15" s="6" t="n">
        <v>0</v>
      </c>
      <c r="H15" s="6" t="n"/>
      <c r="I15" s="6" t="inlineStr">
        <is>
          <t>1541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  <c r="O15" s="6" t="inlineStr">
        <is>
          <t>CHENGDA-MU-IC-1541</t>
        </is>
      </c>
      <c r="P15" s="6" t="n"/>
      <c r="Q15" s="6" t="inlineStr">
        <is>
          <t>Документов нет, есть серьезные замечания к шкафам.</t>
        </is>
      </c>
      <c r="R15" s="11" t="inlineStr">
        <is>
          <t>RFI 1541 добавлен из сводной</t>
        </is>
      </c>
    </row>
    <row r="16">
      <c r="A16" s="6" t="inlineStr">
        <is>
          <t>1.10 DC2.1-2.2N</t>
        </is>
      </c>
      <c r="B16" s="6" t="inlineStr">
        <is>
          <t>Вторичная силовая сборка DC2.1-2.2N</t>
        </is>
      </c>
      <c r="C16" s="6" t="n"/>
      <c r="D16" s="6" t="inlineStr">
        <is>
          <t>компл.</t>
        </is>
      </c>
      <c r="E16" s="6" t="n">
        <v>1</v>
      </c>
      <c r="F16" s="6" t="n"/>
      <c r="G16" s="6" t="n">
        <v>0</v>
      </c>
      <c r="H16" s="6" t="n"/>
      <c r="I16" s="6" t="inlineStr">
        <is>
          <t>1671</t>
        </is>
      </c>
      <c r="J16" s="6" t="inlineStr">
        <is>
          <t>-</t>
        </is>
      </c>
      <c r="K16" s="6" t="inlineStr">
        <is>
          <t>-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  <c r="O16" s="6" t="inlineStr">
        <is>
          <t>CHENGDA-MU-IC-1671</t>
        </is>
      </c>
      <c r="P16" s="6" t="n"/>
      <c r="Q16" s="6" t="n"/>
      <c r="R16" s="11" t="inlineStr">
        <is>
          <t>RFI 1671 добавлен из сводной</t>
        </is>
      </c>
    </row>
    <row r="17">
      <c r="A17" s="6" t="inlineStr">
        <is>
          <t>1.11 DC2.3N</t>
        </is>
      </c>
      <c r="B17" s="6" t="inlineStr">
        <is>
          <t>Вторичная силовая сборка DC2.3N</t>
        </is>
      </c>
      <c r="C17" s="6" t="n"/>
      <c r="D17" s="6" t="inlineStr">
        <is>
          <t>компл.</t>
        </is>
      </c>
      <c r="E17" s="6" t="n">
        <v>1</v>
      </c>
      <c r="F17" s="6" t="n"/>
      <c r="G17" s="6" t="n">
        <v>0</v>
      </c>
      <c r="H17" s="6" t="n"/>
      <c r="I17" s="6" t="inlineStr">
        <is>
          <t>1671</t>
        </is>
      </c>
      <c r="J17" s="6" t="inlineStr">
        <is>
          <t>-</t>
        </is>
      </c>
      <c r="K17" s="6" t="inlineStr">
        <is>
          <t>-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  <c r="O17" s="6" t="inlineStr">
        <is>
          <t>CHENGDA-MU-IC-1671</t>
        </is>
      </c>
      <c r="P17" s="6" t="n"/>
      <c r="Q17" s="6" t="n"/>
      <c r="R17" s="11" t="inlineStr">
        <is>
          <t>RFI 1671 добавлен из сводной</t>
        </is>
      </c>
    </row>
    <row r="18">
      <c r="A18" s="6" t="inlineStr">
        <is>
          <t>1.12 DC2.5N</t>
        </is>
      </c>
      <c r="B18" s="6" t="inlineStr">
        <is>
          <t>Вторичная силовая сборка отопления DC2.5N</t>
        </is>
      </c>
      <c r="C18" s="6" t="n"/>
      <c r="D18" s="6" t="inlineStr">
        <is>
          <t>компл.</t>
        </is>
      </c>
      <c r="E18" s="6" t="n">
        <v>1</v>
      </c>
      <c r="F18" s="6" t="n"/>
      <c r="G18" s="6" t="n">
        <v>0</v>
      </c>
      <c r="H18" s="6" t="n"/>
      <c r="I18" s="6" t="inlineStr">
        <is>
          <t>1671</t>
        </is>
      </c>
      <c r="J18" s="6" t="inlineStr">
        <is>
          <t>-</t>
        </is>
      </c>
      <c r="K18" s="6" t="inlineStr">
        <is>
          <t>-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6" t="n"/>
      <c r="O18" s="6" t="inlineStr">
        <is>
          <t>CHENGDA-MU-IC-1671</t>
        </is>
      </c>
      <c r="P18" s="6" t="n"/>
      <c r="Q18" s="6" t="n"/>
      <c r="R18" s="11" t="inlineStr">
        <is>
          <t>RFI 1671 добавлен из сводной</t>
        </is>
      </c>
    </row>
    <row r="19">
      <c r="A19" s="6" t="inlineStr">
        <is>
          <t>1.13 DC2.6N</t>
        </is>
      </c>
      <c r="B19" s="6" t="inlineStr">
        <is>
          <t>Вторичная силовая сборка отопления DC2.6N</t>
        </is>
      </c>
      <c r="C19" s="6" t="n"/>
      <c r="D19" s="6" t="inlineStr">
        <is>
          <t>компл.</t>
        </is>
      </c>
      <c r="E19" s="6" t="n">
        <v>1</v>
      </c>
      <c r="F19" s="6" t="n"/>
      <c r="G19" s="6" t="n">
        <v>0</v>
      </c>
      <c r="H19" s="6" t="n"/>
      <c r="I19" s="6" t="inlineStr">
        <is>
          <t>1671</t>
        </is>
      </c>
      <c r="J19" s="6" t="inlineStr">
        <is>
          <t>-</t>
        </is>
      </c>
      <c r="K19" s="6" t="inlineStr">
        <is>
          <t>-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6" t="n"/>
      <c r="O19" s="6" t="inlineStr">
        <is>
          <t>CHENGDA-MU-IC-1671</t>
        </is>
      </c>
      <c r="P19" s="6" t="n"/>
      <c r="Q19" s="6" t="n"/>
      <c r="R19" s="11" t="inlineStr">
        <is>
          <t>RFI 1671 добавлен из сводной</t>
        </is>
      </c>
    </row>
    <row r="20" ht="26.4" customHeight="1" s="19">
      <c r="A20" s="6" t="inlineStr">
        <is>
          <t>1.14 DC2.7N</t>
        </is>
      </c>
      <c r="B20" s="6" t="inlineStr">
        <is>
          <t>Вторичная силовая сборка кондиционирования DC2.7N</t>
        </is>
      </c>
      <c r="C20" s="6" t="n"/>
      <c r="D20" s="6" t="inlineStr">
        <is>
          <t>компл.</t>
        </is>
      </c>
      <c r="E20" s="6" t="n">
        <v>1</v>
      </c>
      <c r="F20" s="6" t="n"/>
      <c r="G20" s="6" t="n">
        <v>0</v>
      </c>
      <c r="H20" s="6" t="n"/>
      <c r="I20" s="6" t="inlineStr">
        <is>
          <t>1671</t>
        </is>
      </c>
      <c r="J20" s="6" t="inlineStr">
        <is>
          <t>-</t>
        </is>
      </c>
      <c r="K20" s="6" t="inlineStr">
        <is>
          <t>-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  <c r="O20" s="6" t="inlineStr">
        <is>
          <t>CHENGDA-MU-IC-1671</t>
        </is>
      </c>
      <c r="P20" s="6" t="n"/>
      <c r="Q20" s="6" t="n"/>
      <c r="R20" s="11" t="inlineStr">
        <is>
          <t>RFI 1671 добавлен из сводной</t>
        </is>
      </c>
    </row>
    <row r="21">
      <c r="A21" s="6" t="inlineStr">
        <is>
          <t>1.15 DC2.8N</t>
        </is>
      </c>
      <c r="B21" s="6" t="inlineStr">
        <is>
          <t>Вторичная силовая сборка вентиляции DC2.8N</t>
        </is>
      </c>
      <c r="C21" s="6" t="n"/>
      <c r="D21" s="6" t="inlineStr">
        <is>
          <t>компл.</t>
        </is>
      </c>
      <c r="E21" s="6" t="n">
        <v>1</v>
      </c>
      <c r="F21" s="6" t="n"/>
      <c r="G21" s="6" t="n">
        <v>0</v>
      </c>
      <c r="H21" s="6" t="n"/>
      <c r="I21" s="6" t="inlineStr">
        <is>
          <t>1671</t>
        </is>
      </c>
      <c r="J21" s="6" t="inlineStr">
        <is>
          <t>-</t>
        </is>
      </c>
      <c r="K21" s="6" t="inlineStr">
        <is>
          <t>-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  <c r="O21" s="6" t="inlineStr">
        <is>
          <t>CHENGDA-MU-IC-1671</t>
        </is>
      </c>
      <c r="P21" s="6" t="n"/>
      <c r="Q21" s="6" t="n"/>
      <c r="R21" s="11" t="inlineStr">
        <is>
          <t>RFI 1671 добавлен из сводной</t>
        </is>
      </c>
    </row>
    <row r="22">
      <c r="A22" s="6" t="inlineStr">
        <is>
          <t>1.16 DC2.9N</t>
        </is>
      </c>
      <c r="B22" s="6" t="inlineStr">
        <is>
          <t>Вторичная силовая сборка вентиляции DC2.9N</t>
        </is>
      </c>
      <c r="C22" s="6" t="n"/>
      <c r="D22" s="6" t="inlineStr">
        <is>
          <t>компл.</t>
        </is>
      </c>
      <c r="E22" s="6" t="n">
        <v>1</v>
      </c>
      <c r="F22" s="6" t="n"/>
      <c r="G22" s="6" t="n">
        <v>0</v>
      </c>
      <c r="H22" s="6" t="n"/>
      <c r="I22" s="6" t="inlineStr">
        <is>
          <t>1671</t>
        </is>
      </c>
      <c r="J22" s="6" t="inlineStr">
        <is>
          <t>-</t>
        </is>
      </c>
      <c r="K22" s="6" t="inlineStr">
        <is>
          <t>-</t>
        </is>
      </c>
      <c r="L22" s="6">
        <f>IF(F22="",IF(J22="-","Нет зав. №, нет АоРПИ","Нет зав. №"),IF(G22&lt;E22,"Зав. № не все ("&amp;G22&amp;" из "&amp;E22&amp;")",IF(J22="-","Зав. № есть, АоРПИ нет",IF(K22="Подписан","ОК: зав. № + АоРПИ подписан","Зав. № есть, АоРПИ не подписан"))))</f>
        <v/>
      </c>
      <c r="M22" s="6" t="n"/>
      <c r="N22" s="6" t="n"/>
      <c r="O22" s="6" t="inlineStr">
        <is>
          <t>CHENGDA-MU-IC-1671</t>
        </is>
      </c>
      <c r="P22" s="6" t="n"/>
      <c r="Q22" s="6" t="n"/>
      <c r="R22" s="11" t="inlineStr">
        <is>
          <t>RFI 1671 добавлен из сводной</t>
        </is>
      </c>
    </row>
    <row r="23">
      <c r="A23" s="6" t="inlineStr">
        <is>
          <t>1.17 DC2.10N</t>
        </is>
      </c>
      <c r="B23" s="6" t="inlineStr">
        <is>
          <t>Вторичная силовая сборка вентиляции DC2.10N</t>
        </is>
      </c>
      <c r="C23" s="6" t="n"/>
      <c r="D23" s="6" t="inlineStr">
        <is>
          <t>компл.</t>
        </is>
      </c>
      <c r="E23" s="6" t="n">
        <v>1</v>
      </c>
      <c r="F23" s="6" t="n"/>
      <c r="G23" s="6" t="n">
        <v>0</v>
      </c>
      <c r="H23" s="6" t="n"/>
      <c r="I23" s="6" t="inlineStr">
        <is>
          <t>1671</t>
        </is>
      </c>
      <c r="J23" s="6" t="inlineStr">
        <is>
          <t>-</t>
        </is>
      </c>
      <c r="K23" s="6" t="inlineStr">
        <is>
          <t>-</t>
        </is>
      </c>
      <c r="L23" s="6">
        <f>IF(F23="",IF(J23="-","Нет зав. №, нет АоРПИ","Нет зав. №"),IF(G23&lt;E23,"Зав. № не все ("&amp;G23&amp;" из "&amp;E23&amp;")",IF(J23="-","Зав. № есть, АоРПИ нет",IF(K23="Подписан","ОК: зав. № + АоРПИ подписан","Зав. № есть, АоРПИ не подписан"))))</f>
        <v/>
      </c>
      <c r="M23" s="6" t="n"/>
      <c r="N23" s="6" t="n"/>
      <c r="O23" s="6" t="inlineStr">
        <is>
          <t>CHENGDA-MU-IC-1671</t>
        </is>
      </c>
      <c r="P23" s="6" t="n"/>
      <c r="Q23" s="6" t="n"/>
      <c r="R23" s="11" t="inlineStr">
        <is>
          <t>RFI 1671 добавлен из сводной</t>
        </is>
      </c>
    </row>
    <row r="24">
      <c r="A24" s="6" t="inlineStr">
        <is>
          <t>1.18 DC2.11N</t>
        </is>
      </c>
      <c r="B24" s="6" t="inlineStr">
        <is>
          <t>Вторичная силовая сборка вентиляции DC2.11N</t>
        </is>
      </c>
      <c r="C24" s="6" t="n"/>
      <c r="D24" s="6" t="inlineStr">
        <is>
          <t>компл.</t>
        </is>
      </c>
      <c r="E24" s="6" t="n">
        <v>1</v>
      </c>
      <c r="F24" s="6" t="n"/>
      <c r="G24" s="6" t="n">
        <v>0</v>
      </c>
      <c r="H24" s="6" t="n"/>
      <c r="I24" s="6" t="inlineStr">
        <is>
          <t>1671</t>
        </is>
      </c>
      <c r="J24" s="6" t="inlineStr">
        <is>
          <t>-</t>
        </is>
      </c>
      <c r="K24" s="6" t="inlineStr">
        <is>
          <t>-</t>
        </is>
      </c>
      <c r="L24" s="6">
        <f>IF(F24="",IF(J24="-","Нет зав. №, нет АоРПИ","Нет зав. №"),IF(G24&lt;E24,"Зав. № не все ("&amp;G24&amp;" из "&amp;E24&amp;")",IF(J24="-","Зав. № есть, АоРПИ нет",IF(K24="Подписан","ОК: зав. № + АоРПИ подписан","Зав. № есть, АоРПИ не подписан"))))</f>
        <v/>
      </c>
      <c r="M24" s="6" t="n"/>
      <c r="N24" s="6" t="n"/>
      <c r="O24" s="6" t="inlineStr">
        <is>
          <t>CHENGDA-MU-IC-1671</t>
        </is>
      </c>
      <c r="P24" s="6" t="n"/>
      <c r="Q24" s="6" t="n"/>
      <c r="R24" s="11" t="inlineStr">
        <is>
          <t>RFI 1671 добавлен из сводной</t>
        </is>
      </c>
    </row>
    <row r="25">
      <c r="A25" s="6" t="inlineStr">
        <is>
          <t>1.19 DC2.12N</t>
        </is>
      </c>
      <c r="B25" s="6" t="inlineStr">
        <is>
          <t>Вторичная силовая сборка вентиляции DC2.12N</t>
        </is>
      </c>
      <c r="C25" s="6" t="n"/>
      <c r="D25" s="6" t="inlineStr">
        <is>
          <t>компл.</t>
        </is>
      </c>
      <c r="E25" s="6" t="n">
        <v>1</v>
      </c>
      <c r="F25" s="6" t="n"/>
      <c r="G25" s="6" t="n">
        <v>0</v>
      </c>
      <c r="H25" s="6" t="n"/>
      <c r="I25" s="6" t="inlineStr">
        <is>
          <t>1671</t>
        </is>
      </c>
      <c r="J25" s="6" t="inlineStr">
        <is>
          <t>-</t>
        </is>
      </c>
      <c r="K25" s="6" t="inlineStr">
        <is>
          <t>-</t>
        </is>
      </c>
      <c r="L25" s="6">
        <f>IF(F25="",IF(J25="-","Нет зав. №, нет АоРПИ","Нет зав. №"),IF(G25&lt;E25,"Зав. № не все ("&amp;G25&amp;" из "&amp;E25&amp;")",IF(J25="-","Зав. № есть, АоРПИ нет",IF(K25="Подписан","ОК: зав. № + АоРПИ подписан","Зав. № есть, АоРПИ не подписан"))))</f>
        <v/>
      </c>
      <c r="M25" s="6" t="n"/>
      <c r="N25" s="6" t="n"/>
      <c r="O25" s="6" t="inlineStr">
        <is>
          <t>CHENGDA-MU-IC-1671</t>
        </is>
      </c>
      <c r="P25" s="6" t="n"/>
      <c r="Q25" s="6" t="n"/>
      <c r="R25" s="11" t="inlineStr">
        <is>
          <t>RFI 1671 добавлен из сводной</t>
        </is>
      </c>
    </row>
    <row r="26">
      <c r="A26" s="6" t="inlineStr">
        <is>
          <t>1.20 DC2.13N</t>
        </is>
      </c>
      <c r="B26" s="6" t="inlineStr">
        <is>
          <t>Вторичная силовая сборка вентиляции DC2.13N</t>
        </is>
      </c>
      <c r="C26" s="6" t="n"/>
      <c r="D26" s="6" t="inlineStr">
        <is>
          <t>компл.</t>
        </is>
      </c>
      <c r="E26" s="6" t="n">
        <v>1</v>
      </c>
      <c r="F26" s="6" t="n"/>
      <c r="G26" s="6" t="n">
        <v>0</v>
      </c>
      <c r="H26" s="6" t="n"/>
      <c r="I26" s="6" t="inlineStr">
        <is>
          <t>1671</t>
        </is>
      </c>
      <c r="J26" s="6" t="inlineStr">
        <is>
          <t>-</t>
        </is>
      </c>
      <c r="K26" s="6" t="inlineStr">
        <is>
          <t>-</t>
        </is>
      </c>
      <c r="L26" s="6">
        <f>IF(F26="",IF(J26="-","Нет зав. №, нет АоРПИ","Нет зав. №"),IF(G26&lt;E26,"Зав. № не все ("&amp;G26&amp;" из "&amp;E26&amp;")",IF(J26="-","Зав. № есть, АоРПИ нет",IF(K26="Подписан","ОК: зав. № + АоРПИ подписан","Зав. № есть, АоРПИ не подписан"))))</f>
        <v/>
      </c>
      <c r="M26" s="6" t="n"/>
      <c r="N26" s="6" t="n"/>
      <c r="O26" s="6" t="inlineStr">
        <is>
          <t>CHENGDA-MU-IC-1671</t>
        </is>
      </c>
      <c r="P26" s="6" t="n"/>
      <c r="Q26" s="6" t="n"/>
      <c r="R26" s="11" t="inlineStr">
        <is>
          <t>RFI 1671 добавлен из сводной</t>
        </is>
      </c>
    </row>
    <row r="27" ht="26.4" customHeight="1" s="19">
      <c r="A27" s="6" t="inlineStr">
        <is>
          <t>1.21 DC3.1N</t>
        </is>
      </c>
      <c r="B27" s="6" t="inlineStr">
        <is>
          <t>Вторичная силовая сборка DC3.1N (устан. в ЗРУ-10 кВ тит. 3123)</t>
        </is>
      </c>
      <c r="C27" s="6" t="n"/>
      <c r="D27" s="6" t="inlineStr">
        <is>
          <t>компл.</t>
        </is>
      </c>
      <c r="E27" s="6" t="n">
        <v>1</v>
      </c>
      <c r="F27" s="6" t="n"/>
      <c r="G27" s="6" t="n">
        <v>0</v>
      </c>
      <c r="H27" s="6" t="n"/>
      <c r="I27" s="6" t="inlineStr">
        <is>
          <t>1671</t>
        </is>
      </c>
      <c r="J27" s="6" t="inlineStr">
        <is>
          <t>-</t>
        </is>
      </c>
      <c r="K27" s="6" t="inlineStr">
        <is>
          <t>-</t>
        </is>
      </c>
      <c r="L27" s="6">
        <f>IF(F27="",IF(J27="-","Нет зав. №, нет АоРПИ","Нет зав. №"),IF(G27&lt;E27,"Зав. № не все ("&amp;G27&amp;" из "&amp;E27&amp;")",IF(J27="-","Зав. № есть, АоРПИ нет",IF(K27="Подписан","ОК: зав. № + АоРПИ подписан","Зав. № есть, АоРПИ не подписан"))))</f>
        <v/>
      </c>
      <c r="M27" s="6" t="n"/>
      <c r="N27" s="6" t="n"/>
      <c r="O27" s="6" t="inlineStr">
        <is>
          <t>CHENGDA-MU-IC-1671</t>
        </is>
      </c>
      <c r="P27" s="6" t="n"/>
      <c r="Q27" s="6" t="n"/>
      <c r="R27" s="11" t="inlineStr">
        <is>
          <t>RFI 1671 добавлен из сводной</t>
        </is>
      </c>
    </row>
    <row r="28">
      <c r="A28" s="6" t="inlineStr">
        <is>
          <t>1.22 DCM2.1N</t>
        </is>
      </c>
      <c r="B28" s="6" t="inlineStr">
        <is>
          <t>Панель противопожарных устройств (ППУ)</t>
        </is>
      </c>
      <c r="C28" s="6" t="n"/>
      <c r="D28" s="6" t="inlineStr">
        <is>
          <t>компл.</t>
        </is>
      </c>
      <c r="E28" s="6" t="n">
        <v>1</v>
      </c>
      <c r="F28" s="6" t="n"/>
      <c r="G28" s="6" t="n">
        <v>0</v>
      </c>
      <c r="H28" s="6" t="n"/>
      <c r="I28" s="6" t="inlineStr">
        <is>
          <t>1671</t>
        </is>
      </c>
      <c r="J28" s="6" t="inlineStr">
        <is>
          <t>-</t>
        </is>
      </c>
      <c r="K28" s="6" t="inlineStr">
        <is>
          <t>-</t>
        </is>
      </c>
      <c r="L28" s="6">
        <f>IF(F28="",IF(J28="-","Нет зав. №, нет АоРПИ","Нет зав. №"),IF(G28&lt;E28,"Зав. № не все ("&amp;G28&amp;" из "&amp;E28&amp;")",IF(J28="-","Зав. № есть, АоРПИ нет",IF(K28="Подписан","ОК: зав. № + АоРПИ подписан","Зав. № есть, АоРПИ не подписан"))))</f>
        <v/>
      </c>
      <c r="M28" s="6" t="n"/>
      <c r="N28" s="6" t="n"/>
      <c r="O28" s="6" t="inlineStr">
        <is>
          <t>CHENGDA-MU-IC-1671</t>
        </is>
      </c>
      <c r="P28" s="6" t="n"/>
      <c r="Q28" s="6" t="n"/>
      <c r="R28" s="11" t="inlineStr">
        <is>
          <t>RFI 1671 добавлен из сводной</t>
        </is>
      </c>
    </row>
    <row r="29" ht="26.4" customHeight="1" s="19">
      <c r="A29" s="6" t="inlineStr">
        <is>
          <t>1.23 DCM3.1N</t>
        </is>
      </c>
      <c r="B29" s="6" t="inlineStr">
        <is>
          <t>Панель противопожарных устройств (ППУ), в ЗРУ-10 кВ тит. 3123</t>
        </is>
      </c>
      <c r="C29" s="6" t="n"/>
      <c r="D29" s="6" t="inlineStr">
        <is>
          <t>компл.</t>
        </is>
      </c>
      <c r="E29" s="6" t="n">
        <v>1</v>
      </c>
      <c r="F29" s="6" t="n"/>
      <c r="G29" s="6" t="n">
        <v>0</v>
      </c>
      <c r="H29" s="6" t="n"/>
      <c r="I29" s="6" t="inlineStr">
        <is>
          <t>1671</t>
        </is>
      </c>
      <c r="J29" s="6" t="inlineStr">
        <is>
          <t>-</t>
        </is>
      </c>
      <c r="K29" s="6" t="inlineStr">
        <is>
          <t>-</t>
        </is>
      </c>
      <c r="L29" s="6">
        <f>IF(F29="",IF(J29="-","Нет зав. №, нет АоРПИ","Нет зав. №"),IF(G29&lt;E29,"Зав. № не все ("&amp;G29&amp;" из "&amp;E29&amp;")",IF(J29="-","Зав. № есть, АоРПИ нет",IF(K29="Подписан","ОК: зав. № + АоРПИ подписан","Зав. № есть, АоРПИ не подписан"))))</f>
        <v/>
      </c>
      <c r="M29" s="6" t="n"/>
      <c r="N29" s="6" t="n"/>
      <c r="O29" s="6" t="inlineStr">
        <is>
          <t>CHENGDA-MU-IC-1671</t>
        </is>
      </c>
      <c r="P29" s="6" t="n"/>
      <c r="Q29" s="6" t="n"/>
      <c r="R29" s="11" t="inlineStr">
        <is>
          <t>RFI 1671 добавлен из сводной</t>
        </is>
      </c>
    </row>
    <row r="30" ht="39.6" customHeight="1" s="19">
      <c r="A30" s="6" t="inlineStr">
        <is>
          <t>1.24 LCS</t>
        </is>
      </c>
      <c r="B30" s="6" t="inlineStr">
        <is>
          <t>Местная станция управления IP55, 400/230 В</t>
        </is>
      </c>
      <c r="C30" s="6" t="inlineStr">
        <is>
          <t>HLFX01-A2D1G</t>
        </is>
      </c>
      <c r="D30" s="6" t="inlineStr">
        <is>
          <t>компл.</t>
        </is>
      </c>
      <c r="E30" s="6" t="n">
        <v>8</v>
      </c>
      <c r="F30" s="6" t="inlineStr">
        <is>
          <t>2601-00036; 2601-00037; 2601-00038; 2601-00039; 2601-00040; 2601-00041; 2601-00042; 2601-00043</t>
        </is>
      </c>
      <c r="G30" s="6" t="n">
        <v>8</v>
      </c>
      <c r="H30" s="6" t="inlineStr">
        <is>
          <t>RFI 1610-2</t>
        </is>
      </c>
      <c r="I30" s="5" t="inlineStr">
        <is>
          <t>1610-2</t>
        </is>
      </c>
      <c r="J30" s="5" t="inlineStr">
        <is>
          <t>1080-3120-ЭС3-ВК-ЧНД</t>
        </is>
      </c>
      <c r="K30" s="6" t="inlineStr">
        <is>
          <t>Подписан</t>
        </is>
      </c>
      <c r="L30" s="6">
        <f>IF(F30="",IF(J30="-","Нет зав. №, нет АоРПИ","Нет зав. №"),IF(G30&lt;E30,"Зав. № не все ("&amp;G30&amp;" из "&amp;E30&amp;")",IF(J30="-","Зав. № есть, АоРПИ нет",IF(K30="Подписан","ОК: зав. № + АоРПИ подписан","Зав. № есть, АоРПИ не подписан"))))</f>
        <v/>
      </c>
      <c r="M30" s="6" t="inlineStr">
        <is>
          <t>В АоРПИ 1080 зав. № не указаны</t>
        </is>
      </c>
      <c r="N30" s="6" t="n"/>
      <c r="O30" s="6" t="inlineStr">
        <is>
          <t>CHENGDA-MU-IC-1610-2</t>
        </is>
      </c>
      <c r="P30" s="6" t="inlineStr">
        <is>
          <t>1080-3120-ЭС3-ВК-ЧНД</t>
        </is>
      </c>
      <c r="Q30" s="6" t="inlineStr">
        <is>
          <t>Нет документов, приложенные документы не идентифицируют изделие.</t>
        </is>
      </c>
      <c r="R30" s="15" t="inlineStr">
        <is>
          <t>Совпадает</t>
        </is>
      </c>
    </row>
    <row r="31" ht="39.6" customHeight="1" s="19">
      <c r="A31" s="6" t="inlineStr">
        <is>
          <t>1.25</t>
        </is>
      </c>
      <c r="B31" s="6" t="inlineStr">
        <is>
          <t>Выключатель одноклавишный IP20, 230 В, 10 А</t>
        </is>
      </c>
      <c r="C31" s="6" t="inlineStr">
        <is>
          <t>HLFX01-K1G</t>
        </is>
      </c>
      <c r="D31" s="6" t="inlineStr">
        <is>
          <t>шт</t>
        </is>
      </c>
      <c r="E31" s="6" t="n">
        <v>9</v>
      </c>
      <c r="F31" s="6" t="inlineStr">
        <is>
          <t>2601-00047; 2601-00048; 2601-00049; 2601-00050; 2601-00051; 2601-00052; 2601-00053; 2601-00054; 2601-00055</t>
        </is>
      </c>
      <c r="G31" s="6" t="n">
        <v>9</v>
      </c>
      <c r="H31" s="6" t="inlineStr">
        <is>
          <t>RFI 1610-2</t>
        </is>
      </c>
      <c r="I31" s="5" t="inlineStr">
        <is>
          <t>1610-2</t>
        </is>
      </c>
      <c r="J31" s="5" t="inlineStr">
        <is>
          <t>1080-3120-ЭС3-ВК-ЧНД</t>
        </is>
      </c>
      <c r="K31" s="6" t="inlineStr">
        <is>
          <t>Подписан</t>
        </is>
      </c>
      <c r="L31" s="6">
        <f>IF(F31="",IF(J31="-","Нет зав. №, нет АоРПИ","Нет зав. №"),IF(G31&lt;E31,"Зав. № не все ("&amp;G31&amp;" из "&amp;E31&amp;")",IF(J31="-","Зав. № есть, АоРПИ нет",IF(K31="Подписан","ОК: зав. № + АоРПИ подписан","Зав. № есть, АоРПИ не подписан"))))</f>
        <v/>
      </c>
      <c r="M31" s="6" t="inlineStr">
        <is>
          <t>В АоРПИ 1080 зав. № не указаны</t>
        </is>
      </c>
      <c r="N31" s="6" t="n"/>
      <c r="O31" s="6" t="inlineStr">
        <is>
          <t>CHENGDA-MU-IC-1610-2</t>
        </is>
      </c>
      <c r="P31" s="6" t="inlineStr">
        <is>
          <t>1080-3120-ЭС3-ВК-ЧНД</t>
        </is>
      </c>
      <c r="Q31" s="6" t="inlineStr">
        <is>
          <t>Нет документов, приложенные документы не идентифицируют изделие.</t>
        </is>
      </c>
      <c r="R31" s="15" t="inlineStr">
        <is>
          <t>Совпадает</t>
        </is>
      </c>
    </row>
    <row r="32">
      <c r="D32" s="7" t="inlineStr">
        <is>
          <t>Итого</t>
        </is>
      </c>
      <c r="E32" s="7">
        <f>SUM(E6:E31)</f>
        <v/>
      </c>
      <c r="G32" s="7">
        <f>SUM(G6:G31)</f>
        <v/>
      </c>
    </row>
  </sheetData>
  <autoFilter ref="A5:R31"/>
  <conditionalFormatting sqref="F6:F31">
    <cfRule type="expression" priority="5" dxfId="1">
      <formula>$F6=""</formula>
    </cfRule>
  </conditionalFormatting>
  <conditionalFormatting sqref="L6:L31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J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J8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I10" r:id="rId9"/>
    <hyperlink xmlns:r="http://schemas.openxmlformats.org/officeDocument/2006/relationships" ref="J10" r:id="rId10"/>
    <hyperlink xmlns:r="http://schemas.openxmlformats.org/officeDocument/2006/relationships" ref="I11" r:id="rId11"/>
    <hyperlink xmlns:r="http://schemas.openxmlformats.org/officeDocument/2006/relationships" ref="J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J13" r:id="rId16"/>
    <hyperlink xmlns:r="http://schemas.openxmlformats.org/officeDocument/2006/relationships" ref="I30" r:id="rId17"/>
    <hyperlink xmlns:r="http://schemas.openxmlformats.org/officeDocument/2006/relationships" ref="J30" r:id="rId18"/>
    <hyperlink xmlns:r="http://schemas.openxmlformats.org/officeDocument/2006/relationships" ref="I31" r:id="rId19"/>
    <hyperlink xmlns:r="http://schemas.openxmlformats.org/officeDocument/2006/relationships" ref="J31" r:id="rId20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zoomScaleNormal="100" workbookViewId="0">
      <pane xSplit="2" ySplit="5" topLeftCell="C10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ЭС4 — оборудование (раздел «Оборудование» спецификации), заводские номера и АоРПИ</t>
        </is>
      </c>
    </row>
    <row r="2">
      <c r="A2" s="14" t="inlineStr">
        <is>
          <t>СО: E19006-CXPP-3120-ЭС4.СО-001, ревизия 4А (.docm) — проверено 28.09.2026: СО ЭС4 новее 4А в папке РД нет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3121RC02, RC09</t>
        </is>
      </c>
      <c r="B6" s="6" t="inlineStr">
        <is>
          <t>Дифзащита W1E, W2E с комплектом ступенчатых защит</t>
        </is>
      </c>
      <c r="C6" s="6" t="inlineStr">
        <is>
          <t>ШЭ2607 692-61Е2 (ЭКРА)</t>
        </is>
      </c>
      <c r="D6" s="6" t="inlineStr">
        <is>
          <t>шт</t>
        </is>
      </c>
      <c r="E6" s="6" t="n">
        <v>2</v>
      </c>
      <c r="F6" s="6" t="inlineStr">
        <is>
          <t>35323; 35324</t>
        </is>
      </c>
      <c r="G6" s="6" t="n">
        <v>2</v>
      </c>
      <c r="H6" s="6" t="inlineStr">
        <is>
          <t>АоРПИ 961 / RFI 1556</t>
        </is>
      </c>
      <c r="I6" s="5" t="inlineStr">
        <is>
          <t>1556</t>
        </is>
      </c>
      <c r="J6" s="5" t="inlineStr">
        <is>
          <t>961-3120-ЭС4-ВК-ЧНД</t>
        </is>
      </c>
      <c r="K6" s="6" t="inlineStr">
        <is>
          <t>Не 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  <c r="O6" s="6" t="inlineStr">
        <is>
          <t>CHENGDA-MU-IC-1556</t>
        </is>
      </c>
      <c r="P6" s="6" t="inlineStr">
        <is>
          <t>961-3120-ЭС4-ВК-ЧНД</t>
        </is>
      </c>
      <c r="Q6" s="6" t="n"/>
      <c r="R6" s="15" t="inlineStr">
        <is>
          <t>Совпадает</t>
        </is>
      </c>
    </row>
    <row r="7" ht="26.4" customHeight="1" s="19">
      <c r="A7" s="6" t="inlineStr">
        <is>
          <t>3121RC03, RC10</t>
        </is>
      </c>
      <c r="B7" s="6" t="inlineStr">
        <is>
          <t>Комплект ступенчатых защит W1E, W2E</t>
        </is>
      </c>
      <c r="C7" s="6" t="inlineStr">
        <is>
          <t>ШЭТ 220.08-0 Бреслер-0117.510</t>
        </is>
      </c>
      <c r="D7" s="6" t="inlineStr">
        <is>
          <t>шт</t>
        </is>
      </c>
      <c r="E7" s="6" t="n">
        <v>2</v>
      </c>
      <c r="F7" s="6" t="inlineStr">
        <is>
          <t>10589/1 (RC03); 10589/2 (RC10)</t>
        </is>
      </c>
      <c r="G7" s="6" t="n">
        <v>2</v>
      </c>
      <c r="H7" s="6" t="inlineStr">
        <is>
          <t>RFI 1556</t>
        </is>
      </c>
      <c r="I7" s="5" t="inlineStr">
        <is>
          <t>1556</t>
        </is>
      </c>
      <c r="J7" s="5" t="inlineStr">
        <is>
          <t>961-3120-ЭС4-ВК-ЧНД</t>
        </is>
      </c>
      <c r="K7" s="6" t="inlineStr">
        <is>
          <t>Не подписан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inlineStr">
        <is>
          <t>В АоРПИ 961 поз. 2 номера не указаны</t>
        </is>
      </c>
      <c r="N7" s="6" t="n"/>
      <c r="O7" s="6" t="inlineStr">
        <is>
          <t>CHENGDA-MU-IC-1556</t>
        </is>
      </c>
      <c r="P7" s="6" t="inlineStr">
        <is>
          <t>961-3120-ЭС4-ВК-ЧНД</t>
        </is>
      </c>
      <c r="Q7" s="6" t="n"/>
      <c r="R7" s="15" t="inlineStr">
        <is>
          <t>Совпадает</t>
        </is>
      </c>
    </row>
    <row r="8" ht="26.4" customHeight="1" s="19">
      <c r="A8" s="6" t="inlineStr">
        <is>
          <t>3121RC06, RC07, RC08</t>
        </is>
      </c>
      <c r="B8" s="6" t="inlineStr">
        <is>
          <t>Автоматика управления выключателем Q2T1, Q2T2, QK1E</t>
        </is>
      </c>
      <c r="C8" s="6" t="inlineStr">
        <is>
          <t>ШЭТ 251.01-0 Бреслер-0117.600</t>
        </is>
      </c>
      <c r="D8" s="6" t="inlineStr">
        <is>
          <t>шт</t>
        </is>
      </c>
      <c r="E8" s="6" t="n">
        <v>3</v>
      </c>
      <c r="F8" s="6" t="inlineStr">
        <is>
          <t>10589/3 (RC06); 10589/5 (RC07); 10589/4 (RC08)</t>
        </is>
      </c>
      <c r="G8" s="6" t="n">
        <v>3</v>
      </c>
      <c r="H8" s="6" t="inlineStr">
        <is>
          <t>АоРПИ 961 / RFI 1556</t>
        </is>
      </c>
      <c r="I8" s="5" t="inlineStr">
        <is>
          <t>1556</t>
        </is>
      </c>
      <c r="J8" s="5" t="inlineStr">
        <is>
          <t>961-3120-ЭС4-ВК-ЧНД</t>
        </is>
      </c>
      <c r="K8" s="6" t="inlineStr">
        <is>
          <t>Не подписан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  <c r="O8" s="6" t="inlineStr">
        <is>
          <t>CHENGDA-MU-IC-1556</t>
        </is>
      </c>
      <c r="P8" s="6" t="inlineStr">
        <is>
          <t>961-3120-ЭС4-ВК-ЧНД</t>
        </is>
      </c>
      <c r="Q8" s="6" t="n"/>
      <c r="R8" s="15" t="inlineStr">
        <is>
          <t>Совпадает</t>
        </is>
      </c>
    </row>
    <row r="9" ht="26.4" customHeight="1" s="19">
      <c r="A9" s="6" t="inlineStr">
        <is>
          <t>3121RC18, RC19, RC24, RC25</t>
        </is>
      </c>
      <c r="B9" s="6" t="inlineStr">
        <is>
          <t>Комплект основных и резервных защит трансформатора Т-1, Т-2</t>
        </is>
      </c>
      <c r="C9" s="6" t="inlineStr">
        <is>
          <t>ШЭТ 210.02-0</t>
        </is>
      </c>
      <c r="D9" s="6" t="inlineStr">
        <is>
          <t>шт</t>
        </is>
      </c>
      <c r="E9" s="6" t="n">
        <v>4</v>
      </c>
      <c r="F9" s="6" t="inlineStr">
        <is>
          <t>10589/6 (RC18); 10589/7 (RC19); 10589/11 (RC24); 10589/12 (RC25)</t>
        </is>
      </c>
      <c r="G9" s="6" t="n">
        <v>4</v>
      </c>
      <c r="H9" s="6" t="inlineStr">
        <is>
          <t>АоРПИ 961 / RFI 1556</t>
        </is>
      </c>
      <c r="I9" s="5" t="inlineStr">
        <is>
          <t>1556</t>
        </is>
      </c>
      <c r="J9" s="5" t="inlineStr">
        <is>
          <t>961-3120-ЭС4-ВК-ЧНД</t>
        </is>
      </c>
      <c r="K9" s="6" t="inlineStr">
        <is>
          <t>Не подписан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  <c r="O9" s="6" t="inlineStr">
        <is>
          <t>CHENGDA-MU-IC-1556</t>
        </is>
      </c>
      <c r="P9" s="6" t="inlineStr">
        <is>
          <t>961-3120-ЭС4-ВК-ЧНД</t>
        </is>
      </c>
      <c r="Q9" s="6" t="n"/>
      <c r="R9" s="15" t="inlineStr">
        <is>
          <t>Совпадает</t>
        </is>
      </c>
    </row>
    <row r="10" ht="26.4" customHeight="1" s="19">
      <c r="A10" s="6" t="inlineStr">
        <is>
          <t>3121RC20, RC26</t>
        </is>
      </c>
      <c r="B10" s="6" t="inlineStr">
        <is>
          <t>Защита ошиновки 220 кВ Т1, Т2</t>
        </is>
      </c>
      <c r="C10" s="6" t="inlineStr">
        <is>
          <t>ШЭТ 440.02-0</t>
        </is>
      </c>
      <c r="D10" s="6" t="inlineStr">
        <is>
          <t>шт</t>
        </is>
      </c>
      <c r="E10" s="6" t="n">
        <v>2</v>
      </c>
      <c r="F10" s="6" t="inlineStr">
        <is>
          <t>10589/8 (RC20); 10589/13 (RC26)</t>
        </is>
      </c>
      <c r="G10" s="6" t="n">
        <v>2</v>
      </c>
      <c r="H10" s="6" t="inlineStr">
        <is>
          <t>АоРПИ 961 / RFI 1556</t>
        </is>
      </c>
      <c r="I10" s="5" t="inlineStr">
        <is>
          <t>1556</t>
        </is>
      </c>
      <c r="J10" s="5" t="inlineStr">
        <is>
          <t>961-3120-ЭС4-ВК-ЧНД</t>
        </is>
      </c>
      <c r="K10" s="6" t="inlineStr">
        <is>
          <t>Не 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  <c r="O10" s="6" t="inlineStr">
        <is>
          <t>CHENGDA-MU-IC-1556</t>
        </is>
      </c>
      <c r="P10" s="6" t="inlineStr">
        <is>
          <t>961-3120-ЭС4-ВК-ЧНД</t>
        </is>
      </c>
      <c r="Q10" s="6" t="n"/>
      <c r="R10" s="15" t="inlineStr">
        <is>
          <t>Совпадает</t>
        </is>
      </c>
    </row>
    <row r="11" ht="26.4" customHeight="1" s="19">
      <c r="A11" s="6" t="inlineStr">
        <is>
          <t>3121RC21, RC27</t>
        </is>
      </c>
      <c r="B11" s="6" t="inlineStr">
        <is>
          <t>Комплект ступенчатых защит 220 кВ Т-1, Т-2 (РЗАТ)</t>
        </is>
      </c>
      <c r="C11" s="6" t="inlineStr">
        <is>
          <t>ШЭТ 410.01-0 Бреслер-0117.730</t>
        </is>
      </c>
      <c r="D11" s="6" t="inlineStr">
        <is>
          <t>шт</t>
        </is>
      </c>
      <c r="E11" s="6" t="n">
        <v>2</v>
      </c>
      <c r="F11" s="6" t="inlineStr">
        <is>
          <t>10589/9 (RC21); 10589/14 (RC27)</t>
        </is>
      </c>
      <c r="G11" s="6" t="n">
        <v>2</v>
      </c>
      <c r="H11" s="6" t="inlineStr">
        <is>
          <t>АоРПИ 961 / RFI 1556</t>
        </is>
      </c>
      <c r="I11" s="5" t="inlineStr">
        <is>
          <t>1556</t>
        </is>
      </c>
      <c r="J11" s="5" t="inlineStr">
        <is>
          <t>961-3120-ЭС4-ВК-ЧНД</t>
        </is>
      </c>
      <c r="K11" s="6" t="inlineStr">
        <is>
          <t>Не подписан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  <c r="O11" s="6" t="inlineStr">
        <is>
          <t>CHENGDA-MU-IC-1556</t>
        </is>
      </c>
      <c r="P11" s="6" t="inlineStr">
        <is>
          <t>961-3120-ЭС4-ВК-ЧНД</t>
        </is>
      </c>
      <c r="Q11" s="6" t="n"/>
      <c r="R11" s="15" t="inlineStr">
        <is>
          <t>Совпадает</t>
        </is>
      </c>
    </row>
    <row r="12" ht="26.4" customHeight="1" s="19">
      <c r="A12" s="6" t="inlineStr">
        <is>
          <t>3121RC22</t>
        </is>
      </c>
      <c r="B12" s="6" t="inlineStr">
        <is>
          <t>Шкаф автоматики РПН Т-1, Т-2</t>
        </is>
      </c>
      <c r="C12" s="6" t="inlineStr">
        <is>
          <t>Бреслер</t>
        </is>
      </c>
      <c r="D12" s="6" t="inlineStr">
        <is>
          <t>шт</t>
        </is>
      </c>
      <c r="E12" s="6" t="n">
        <v>1</v>
      </c>
      <c r="F12" s="6" t="inlineStr">
        <is>
          <t>10589/10</t>
        </is>
      </c>
      <c r="G12" s="6" t="n">
        <v>1</v>
      </c>
      <c r="H12" s="6" t="inlineStr">
        <is>
          <t>АоРПИ 961 / RFI 1556</t>
        </is>
      </c>
      <c r="I12" s="5" t="inlineStr">
        <is>
          <t>1556</t>
        </is>
      </c>
      <c r="J12" s="5" t="inlineStr">
        <is>
          <t>961-3120-ЭС4-ВК-ЧНД</t>
        </is>
      </c>
      <c r="K12" s="6" t="inlineStr">
        <is>
          <t>Не подписан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  <c r="O12" s="6" t="inlineStr">
        <is>
          <t>CHENGDA-MU-IC-1556</t>
        </is>
      </c>
      <c r="P12" s="6" t="inlineStr">
        <is>
          <t>961-3120-ЭС4-ВК-ЧНД</t>
        </is>
      </c>
      <c r="Q12" s="6" t="n"/>
      <c r="R12" s="15" t="inlineStr">
        <is>
          <t>Совпадает</t>
        </is>
      </c>
    </row>
    <row r="13" ht="26.4" customHeight="1" s="19">
      <c r="A13" s="6" t="inlineStr">
        <is>
          <t>3121RC28, RC29</t>
        </is>
      </c>
      <c r="B13" s="6" t="inlineStr">
        <is>
          <t>Шкаф ДЗШ 10 кВ K2К, К4К</t>
        </is>
      </c>
      <c r="C13" s="6" t="inlineStr">
        <is>
          <t>ШЭТ 140.01-0 Бреслер-0117.280</t>
        </is>
      </c>
      <c r="D13" s="6" t="inlineStr">
        <is>
          <t>шт</t>
        </is>
      </c>
      <c r="E13" s="6" t="n">
        <v>2</v>
      </c>
      <c r="F13" s="6" t="inlineStr">
        <is>
          <t>10589/15 (RC28); 10589/16 (RC29)</t>
        </is>
      </c>
      <c r="G13" s="6" t="n">
        <v>2</v>
      </c>
      <c r="H13" s="6" t="inlineStr">
        <is>
          <t>АоРПИ 961 / RFI 1556</t>
        </is>
      </c>
      <c r="I13" s="5" t="inlineStr">
        <is>
          <t>1556</t>
        </is>
      </c>
      <c r="J13" s="5" t="inlineStr">
        <is>
          <t>961-3120-ЭС4-ВК-ЧНД</t>
        </is>
      </c>
      <c r="K13" s="6" t="inlineStr">
        <is>
          <t>Не подписан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  <c r="O13" s="6" t="inlineStr">
        <is>
          <t>CHENGDA-MU-IC-1556</t>
        </is>
      </c>
      <c r="P13" s="6" t="inlineStr">
        <is>
          <t>961-3120-ЭС4-ВК-ЧНД</t>
        </is>
      </c>
      <c r="Q13" s="6" t="n"/>
      <c r="R13" s="15" t="inlineStr">
        <is>
          <t>Совпадает</t>
        </is>
      </c>
    </row>
    <row r="14" ht="26.4" customHeight="1" s="19">
      <c r="A14" s="6" t="inlineStr">
        <is>
          <t>3121RC17</t>
        </is>
      </c>
      <c r="B14" s="6" t="inlineStr">
        <is>
          <t>Шкаф регистратора аварийных событий (РАС)</t>
        </is>
      </c>
      <c r="C14" s="6" t="inlineStr">
        <is>
          <t>Бреслер-0117.010</t>
        </is>
      </c>
      <c r="D14" s="6" t="inlineStr">
        <is>
          <t>шт</t>
        </is>
      </c>
      <c r="E14" s="6" t="n">
        <v>1</v>
      </c>
      <c r="F14" s="6" t="inlineStr">
        <is>
          <t>10589/17</t>
        </is>
      </c>
      <c r="G14" s="6" t="n">
        <v>1</v>
      </c>
      <c r="H14" s="6" t="inlineStr">
        <is>
          <t>АоРПИ 961 / RFI 1556</t>
        </is>
      </c>
      <c r="I14" s="5" t="inlineStr">
        <is>
          <t>1556</t>
        </is>
      </c>
      <c r="J14" s="5" t="inlineStr">
        <is>
          <t>961-3120-ЭС4-ВК-ЧНД</t>
        </is>
      </c>
      <c r="K14" s="6" t="inlineStr">
        <is>
          <t>Не подписан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CHENGDA-MU-IC-1556</t>
        </is>
      </c>
      <c r="P14" s="6" t="inlineStr">
        <is>
          <t>961-3120-ЭС4-ВК-ЧНД</t>
        </is>
      </c>
      <c r="Q14" s="6" t="n"/>
      <c r="R14" s="15" t="inlineStr">
        <is>
          <t>Совпадает</t>
        </is>
      </c>
    </row>
    <row r="15" ht="26.4" customHeight="1" s="19">
      <c r="A15" s="6" t="inlineStr">
        <is>
          <t>3121RC16</t>
        </is>
      </c>
      <c r="B15" s="6" t="inlineStr">
        <is>
          <t>Шкаф ОМП W1E, W2E</t>
        </is>
      </c>
      <c r="C15" s="6" t="inlineStr">
        <is>
          <t>Бреслер-0117.090</t>
        </is>
      </c>
      <c r="D15" s="6" t="inlineStr">
        <is>
          <t>шт</t>
        </is>
      </c>
      <c r="E15" s="6" t="n">
        <v>1</v>
      </c>
      <c r="F15" s="6" t="inlineStr">
        <is>
          <t>10589/18</t>
        </is>
      </c>
      <c r="G15" s="6" t="n">
        <v>1</v>
      </c>
      <c r="H15" s="6" t="inlineStr">
        <is>
          <t>АоРПИ 961 / RFI 1556</t>
        </is>
      </c>
      <c r="I15" s="5" t="inlineStr">
        <is>
          <t>1556</t>
        </is>
      </c>
      <c r="J15" s="5" t="inlineStr">
        <is>
          <t>961-3120-ЭС4-ВК-ЧНД</t>
        </is>
      </c>
      <c r="K15" s="6" t="inlineStr">
        <is>
          <t>Не подписан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  <c r="O15" s="6" t="inlineStr">
        <is>
          <t>CHENGDA-MU-IC-1556</t>
        </is>
      </c>
      <c r="P15" s="6" t="inlineStr">
        <is>
          <t>961-3120-ЭС4-ВК-ЧНД</t>
        </is>
      </c>
      <c r="Q15" s="6" t="n"/>
      <c r="R15" s="15" t="inlineStr">
        <is>
          <t>Совпадает</t>
        </is>
      </c>
    </row>
    <row r="16" ht="26.4" customHeight="1" s="19">
      <c r="A16" s="6" t="inlineStr">
        <is>
          <t>3121RC01</t>
        </is>
      </c>
      <c r="B16" s="6" t="inlineStr">
        <is>
          <t>Шкаф центральной сигнализации</t>
        </is>
      </c>
      <c r="C16" s="6" t="inlineStr">
        <is>
          <t>Бреслер-0117.050</t>
        </is>
      </c>
      <c r="D16" s="6" t="inlineStr">
        <is>
          <t>шт</t>
        </is>
      </c>
      <c r="E16" s="6" t="n">
        <v>1</v>
      </c>
      <c r="F16" s="6" t="inlineStr">
        <is>
          <t>10589/19</t>
        </is>
      </c>
      <c r="G16" s="6" t="n">
        <v>1</v>
      </c>
      <c r="H16" s="6" t="inlineStr">
        <is>
          <t>АоРПИ 961 / RFI 1556</t>
        </is>
      </c>
      <c r="I16" s="5" t="inlineStr">
        <is>
          <t>1556</t>
        </is>
      </c>
      <c r="J16" s="5" t="inlineStr">
        <is>
          <t>961-3120-ЭС4-ВК-ЧНД</t>
        </is>
      </c>
      <c r="K16" s="6" t="inlineStr">
        <is>
          <t>Не подписан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  <c r="O16" s="6" t="inlineStr">
        <is>
          <t>CHENGDA-MU-IC-1556</t>
        </is>
      </c>
      <c r="P16" s="6" t="inlineStr">
        <is>
          <t>961-3120-ЭС4-ВК-ЧНД</t>
        </is>
      </c>
      <c r="Q16" s="6" t="n"/>
      <c r="R16" s="15" t="inlineStr">
        <is>
          <t>Совпадает</t>
        </is>
      </c>
    </row>
    <row r="17" ht="26.4" customHeight="1" s="19">
      <c r="A17" s="6" t="inlineStr">
        <is>
          <t>3121RC23</t>
        </is>
      </c>
      <c r="B17" s="6" t="inlineStr">
        <is>
          <t>Шкаф питания цепей оперативной блокировки разъединителей (ШОБР)</t>
        </is>
      </c>
      <c r="C17" s="6" t="inlineStr">
        <is>
          <t>Бреслер-0117.975</t>
        </is>
      </c>
      <c r="D17" s="6" t="inlineStr">
        <is>
          <t>шт</t>
        </is>
      </c>
      <c r="E17" s="6" t="n">
        <v>1</v>
      </c>
      <c r="F17" s="6" t="inlineStr">
        <is>
          <t>10589/20</t>
        </is>
      </c>
      <c r="G17" s="6" t="n">
        <v>1</v>
      </c>
      <c r="H17" s="6" t="inlineStr">
        <is>
          <t>АоРПИ 961 / RFI 1556</t>
        </is>
      </c>
      <c r="I17" s="5" t="inlineStr">
        <is>
          <t>1556</t>
        </is>
      </c>
      <c r="J17" s="5" t="inlineStr">
        <is>
          <t>961-3120-ЭС4-ВК-ЧНД</t>
        </is>
      </c>
      <c r="K17" s="6" t="inlineStr">
        <is>
          <t>Не подписан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  <c r="O17" s="6" t="inlineStr">
        <is>
          <t>CHENGDA-MU-IC-1556</t>
        </is>
      </c>
      <c r="P17" s="6" t="inlineStr">
        <is>
          <t>961-3120-ЭС4-ВК-ЧНД</t>
        </is>
      </c>
      <c r="Q17" s="6" t="n"/>
      <c r="R17" s="15" t="inlineStr">
        <is>
          <t>Совпадает</t>
        </is>
      </c>
    </row>
    <row r="18" ht="26.4" customHeight="1" s="19">
      <c r="A18" s="6" t="inlineStr">
        <is>
          <t>3121RC15</t>
        </is>
      </c>
      <c r="B18" s="6" t="inlineStr">
        <is>
          <t>Шкаф организации цепей напряжения ТН 220 кВ</t>
        </is>
      </c>
      <c r="C18" s="6" t="inlineStr">
        <is>
          <t>Бреслер-0117.980</t>
        </is>
      </c>
      <c r="D18" s="6" t="inlineStr">
        <is>
          <t>шт</t>
        </is>
      </c>
      <c r="E18" s="6" t="n">
        <v>1</v>
      </c>
      <c r="F18" s="6" t="inlineStr">
        <is>
          <t>10589/21</t>
        </is>
      </c>
      <c r="G18" s="6" t="n">
        <v>1</v>
      </c>
      <c r="H18" s="6" t="inlineStr">
        <is>
          <t>RFI 1556</t>
        </is>
      </c>
      <c r="I18" s="5" t="inlineStr">
        <is>
          <t>1556</t>
        </is>
      </c>
      <c r="J18" s="5" t="inlineStr">
        <is>
          <t>961-3120-ЭС4-ВК-ЧНД</t>
        </is>
      </c>
      <c r="K18" s="6" t="inlineStr">
        <is>
          <t>Не подписан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inlineStr">
        <is>
          <t>В АоРПИ 961 этой позиции нет — добавить</t>
        </is>
      </c>
      <c r="N18" s="6" t="n"/>
      <c r="O18" s="6" t="inlineStr">
        <is>
          <t>CHENGDA-MU-IC-1556</t>
        </is>
      </c>
      <c r="P18" s="6" t="inlineStr">
        <is>
          <t>961-3120-ЭС4-ВК-ЧНД</t>
        </is>
      </c>
      <c r="Q18" s="6" t="n"/>
      <c r="R18" s="15" t="inlineStr">
        <is>
          <t>Совпадает</t>
        </is>
      </c>
    </row>
    <row r="19" ht="26.4" customHeight="1" s="19">
      <c r="A19" s="6" t="inlineStr">
        <is>
          <t>3121DP01, DP02</t>
        </is>
      </c>
      <c r="B19" s="6" t="inlineStr">
        <is>
          <t>Шкаф распределения оперативного постоянного тока (ШРОТ) №1, №2</t>
        </is>
      </c>
      <c r="C19" s="6" t="inlineStr">
        <is>
          <t>Бреслер-0117.999</t>
        </is>
      </c>
      <c r="D19" s="6" t="inlineStr">
        <is>
          <t>шт</t>
        </is>
      </c>
      <c r="E19" s="6" t="n">
        <v>2</v>
      </c>
      <c r="F19" s="6" t="inlineStr">
        <is>
          <t>10589/22 (DP01); 10589/42 (DP02)</t>
        </is>
      </c>
      <c r="G19" s="6" t="n">
        <v>2</v>
      </c>
      <c r="H19" s="6" t="inlineStr">
        <is>
          <t>RFI 1556</t>
        </is>
      </c>
      <c r="I19" s="5" t="inlineStr">
        <is>
          <t>1556</t>
        </is>
      </c>
      <c r="J19" s="5" t="inlineStr">
        <is>
          <t>961-3120-ЭС4-ВК-ЧНД</t>
        </is>
      </c>
      <c r="K19" s="6" t="inlineStr">
        <is>
          <t>Не подписан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inlineStr">
        <is>
          <t>В АоРПИ 961 поз. 13–14 № 10589/22 записан дважды</t>
        </is>
      </c>
      <c r="N19" s="6" t="n"/>
      <c r="O19" s="6" t="inlineStr">
        <is>
          <t>CHENGDA-MU-IC-1556</t>
        </is>
      </c>
      <c r="P19" s="6" t="inlineStr">
        <is>
          <t>961-3120-ЭС4-ВК-ЧНД</t>
        </is>
      </c>
      <c r="Q19" s="6" t="n"/>
      <c r="R19" s="15" t="inlineStr">
        <is>
          <t>Совпадает</t>
        </is>
      </c>
    </row>
    <row r="20" ht="26.4" customHeight="1" s="19">
      <c r="A20" s="6" t="inlineStr">
        <is>
          <t>3121RC13, RC14</t>
        </is>
      </c>
      <c r="B20" s="6" t="inlineStr">
        <is>
          <t>Комплект ПА №1, №2 (КПА)</t>
        </is>
      </c>
      <c r="C20" s="6" t="inlineStr">
        <is>
          <t>Бреслер-0117.400</t>
        </is>
      </c>
      <c r="D20" s="6" t="inlineStr">
        <is>
          <t>шт</t>
        </is>
      </c>
      <c r="E20" s="6" t="n">
        <v>2</v>
      </c>
      <c r="F20" s="6" t="inlineStr">
        <is>
          <t>10589/23 (RC13); 10589/24 (RC14)</t>
        </is>
      </c>
      <c r="G20" s="6" t="n">
        <v>2</v>
      </c>
      <c r="H20" s="6" t="inlineStr">
        <is>
          <t>АоРПИ 961 / RFI 1556</t>
        </is>
      </c>
      <c r="I20" s="5" t="inlineStr">
        <is>
          <t>1556</t>
        </is>
      </c>
      <c r="J20" s="5" t="inlineStr">
        <is>
          <t>961-3120-ЭС4-ВК-ЧНД</t>
        </is>
      </c>
      <c r="K20" s="6" t="inlineStr">
        <is>
          <t>Не подписан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  <c r="O20" s="6" t="inlineStr">
        <is>
          <t>CHENGDA-MU-IC-1556</t>
        </is>
      </c>
      <c r="P20" s="6" t="inlineStr">
        <is>
          <t>961-3120-ЭС4-ВК-ЧНД</t>
        </is>
      </c>
      <c r="Q20" s="6" t="n"/>
      <c r="R20" s="15" t="inlineStr">
        <is>
          <t>Совпадает</t>
        </is>
      </c>
    </row>
    <row r="21" ht="52.8" customHeight="1" s="19">
      <c r="A21" s="6" t="inlineStr">
        <is>
          <t>3121RC04, RC05, RC11, RC12</t>
        </is>
      </c>
      <c r="B21" s="6" t="inlineStr">
        <is>
          <t>УПАСК по ВОЛС</t>
        </is>
      </c>
      <c r="C21" s="6" t="inlineStr">
        <is>
          <t>ШЭТ ОВ 32 (Бреслер)</t>
        </is>
      </c>
      <c r="D21" s="6" t="inlineStr">
        <is>
          <t>шт</t>
        </is>
      </c>
      <c r="E21" s="6" t="n">
        <v>4</v>
      </c>
      <c r="F21" s="6" t="inlineStr">
        <is>
          <t>ЮИ-25-1273-1-001 (RC04); ЮИ-25-1273-1-002 (RC05); ЮИ-25-1273-1-003 (RC11); ЮИ-25-1273-1-004 (RC12)</t>
        </is>
      </c>
      <c r="G21" s="6" t="n">
        <v>4</v>
      </c>
      <c r="H21" s="6" t="inlineStr">
        <is>
          <t>АоРПИ 961 / RFI 1556</t>
        </is>
      </c>
      <c r="I21" s="5" t="inlineStr">
        <is>
          <t>1556</t>
        </is>
      </c>
      <c r="J21" s="5" t="inlineStr">
        <is>
          <t>961-3120-ЭС4-ВК-ЧНД</t>
        </is>
      </c>
      <c r="K21" s="6" t="inlineStr">
        <is>
          <t>Не подписан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  <c r="O21" s="6" t="inlineStr">
        <is>
          <t>CHENGDA-MU-IC-1556</t>
        </is>
      </c>
      <c r="P21" s="6" t="inlineStr">
        <is>
          <t>961-3120-ЭС4-ВК-ЧНД</t>
        </is>
      </c>
      <c r="Q21" s="6" t="n"/>
      <c r="R21" s="15" t="inlineStr">
        <is>
          <t>Совпадает</t>
        </is>
      </c>
    </row>
    <row r="22" ht="26.4" customHeight="1" s="19">
      <c r="A22" s="6" t="inlineStr">
        <is>
          <t>—</t>
        </is>
      </c>
      <c r="B22" s="6" t="inlineStr">
        <is>
          <t>Комплект ПО и оборудования для обмена с терминалами РЗА</t>
        </is>
      </c>
      <c r="C22" s="6" t="inlineStr">
        <is>
          <t>WINBRES, TRANSET, BRESUSB</t>
        </is>
      </c>
      <c r="D22" s="6" t="inlineStr">
        <is>
          <t>шт</t>
        </is>
      </c>
      <c r="E22" s="6" t="n">
        <v>2</v>
      </c>
      <c r="F22" s="6" t="n"/>
      <c r="G22" s="6" t="n">
        <v>0</v>
      </c>
      <c r="H22" s="6" t="n"/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>
        <f>IF(F22="",IF(J22="-","Нет зав. №, нет АоРПИ","Нет зав. №"),IF(G22&lt;E22,"Зав. № не все ("&amp;G22&amp;" из "&amp;E22&amp;")",IF(J22="-","Зав. № есть, АоРПИ нет",IF(K22="Подписан","ОК: зав. № + АоРПИ подписан","Зав. № есть, АоРПИ не подписан"))))</f>
        <v/>
      </c>
      <c r="M22" s="6" t="n"/>
      <c r="N22" s="6" t="n"/>
      <c r="O22" s="6" t="n"/>
      <c r="P22" s="6" t="n"/>
      <c r="Q22" s="6" t="inlineStr">
        <is>
          <t>Нужно проверить, еще не обработана</t>
        </is>
      </c>
      <c r="R22" s="15" t="inlineStr">
        <is>
          <t>Совпадает</t>
        </is>
      </c>
    </row>
    <row r="23">
      <c r="A23" s="6" t="inlineStr">
        <is>
          <t>—</t>
        </is>
      </c>
      <c r="B23" s="6" t="inlineStr">
        <is>
          <t>Ноутбук для обслуживания устройств РЗА</t>
        </is>
      </c>
      <c r="C23" s="6" t="n"/>
      <c r="D23" s="6" t="inlineStr">
        <is>
          <t>шт</t>
        </is>
      </c>
      <c r="E23" s="6" t="n">
        <v>1</v>
      </c>
      <c r="F23" s="6" t="n"/>
      <c r="G23" s="6" t="n">
        <v>0</v>
      </c>
      <c r="H23" s="6" t="n"/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>
        <f>IF(F23="",IF(J23="-","Нет зав. №, нет АоРПИ","Нет зав. №"),IF(G23&lt;E23,"Зав. № не все ("&amp;G23&amp;" из "&amp;E23&amp;")",IF(J23="-","Зав. № есть, АоРПИ нет",IF(K23="Подписан","ОК: зав. № + АоРПИ подписан","Зав. № есть, АоРПИ не подписан"))))</f>
        <v/>
      </c>
      <c r="M23" s="6" t="n"/>
      <c r="N23" s="6" t="n"/>
      <c r="O23" s="6" t="n"/>
      <c r="P23" s="6" t="n"/>
      <c r="Q23" s="6" t="inlineStr">
        <is>
          <t>Нужно проверить, еще не обработана</t>
        </is>
      </c>
      <c r="R23" s="15" t="inlineStr">
        <is>
          <t>Совпадает</t>
        </is>
      </c>
    </row>
    <row r="24">
      <c r="A24" s="6" t="inlineStr">
        <is>
          <t>—</t>
        </is>
      </c>
      <c r="B24" s="6" t="inlineStr">
        <is>
          <t>Инструмент для монтажа и наладки ПТС РЗА</t>
        </is>
      </c>
      <c r="C24" s="6" t="inlineStr">
        <is>
          <t>Бреслер</t>
        </is>
      </c>
      <c r="D24" s="6" t="inlineStr">
        <is>
          <t>шт</t>
        </is>
      </c>
      <c r="E24" s="6" t="n">
        <v>1</v>
      </c>
      <c r="F24" s="6" t="n"/>
      <c r="G24" s="6" t="n">
        <v>0</v>
      </c>
      <c r="H24" s="6" t="n"/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>
        <f>IF(F24="",IF(J24="-","Нет зав. №, нет АоРПИ","Нет зав. №"),IF(G24&lt;E24,"Зав. № не все ("&amp;G24&amp;" из "&amp;E24&amp;")",IF(J24="-","Зав. № есть, АоРПИ нет",IF(K24="Подписан","ОК: зав. № + АоРПИ подписан","Зав. № есть, АоРПИ не подписан"))))</f>
        <v/>
      </c>
      <c r="M24" s="6" t="n"/>
      <c r="N24" s="6" t="n"/>
      <c r="O24" s="6" t="n"/>
      <c r="P24" s="6" t="n"/>
      <c r="Q24" s="6" t="inlineStr">
        <is>
          <t>Нужно проверить, еще не обработана</t>
        </is>
      </c>
      <c r="R24" s="15" t="inlineStr">
        <is>
          <t>Совпадает</t>
        </is>
      </c>
    </row>
    <row r="25">
      <c r="D25" s="7" t="inlineStr">
        <is>
          <t>Итого</t>
        </is>
      </c>
      <c r="E25" s="7">
        <f>SUM(E6:E24)</f>
        <v/>
      </c>
      <c r="G25" s="7">
        <f>SUM(G6:G24)</f>
        <v/>
      </c>
    </row>
  </sheetData>
  <autoFilter ref="A5:R24"/>
  <conditionalFormatting sqref="F6:F24">
    <cfRule type="expression" priority="5" dxfId="1">
      <formula>$F6=""</formula>
    </cfRule>
  </conditionalFormatting>
  <conditionalFormatting sqref="L6:L24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J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J8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I10" r:id="rId9"/>
    <hyperlink xmlns:r="http://schemas.openxmlformats.org/officeDocument/2006/relationships" ref="J10" r:id="rId10"/>
    <hyperlink xmlns:r="http://schemas.openxmlformats.org/officeDocument/2006/relationships" ref="I11" r:id="rId11"/>
    <hyperlink xmlns:r="http://schemas.openxmlformats.org/officeDocument/2006/relationships" ref="J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J13" r:id="rId16"/>
    <hyperlink xmlns:r="http://schemas.openxmlformats.org/officeDocument/2006/relationships" ref="I14" r:id="rId17"/>
    <hyperlink xmlns:r="http://schemas.openxmlformats.org/officeDocument/2006/relationships" ref="J14" r:id="rId18"/>
    <hyperlink xmlns:r="http://schemas.openxmlformats.org/officeDocument/2006/relationships" ref="I15" r:id="rId19"/>
    <hyperlink xmlns:r="http://schemas.openxmlformats.org/officeDocument/2006/relationships" ref="J15" r:id="rId20"/>
    <hyperlink xmlns:r="http://schemas.openxmlformats.org/officeDocument/2006/relationships" ref="I16" r:id="rId21"/>
    <hyperlink xmlns:r="http://schemas.openxmlformats.org/officeDocument/2006/relationships" ref="J16" r:id="rId22"/>
    <hyperlink xmlns:r="http://schemas.openxmlformats.org/officeDocument/2006/relationships" ref="I17" r:id="rId23"/>
    <hyperlink xmlns:r="http://schemas.openxmlformats.org/officeDocument/2006/relationships" ref="J17" r:id="rId24"/>
    <hyperlink xmlns:r="http://schemas.openxmlformats.org/officeDocument/2006/relationships" ref="I18" r:id="rId25"/>
    <hyperlink xmlns:r="http://schemas.openxmlformats.org/officeDocument/2006/relationships" ref="J18" r:id="rId26"/>
    <hyperlink xmlns:r="http://schemas.openxmlformats.org/officeDocument/2006/relationships" ref="I19" r:id="rId27"/>
    <hyperlink xmlns:r="http://schemas.openxmlformats.org/officeDocument/2006/relationships" ref="J19" r:id="rId28"/>
    <hyperlink xmlns:r="http://schemas.openxmlformats.org/officeDocument/2006/relationships" ref="I20" r:id="rId29"/>
    <hyperlink xmlns:r="http://schemas.openxmlformats.org/officeDocument/2006/relationships" ref="J20" r:id="rId30"/>
    <hyperlink xmlns:r="http://schemas.openxmlformats.org/officeDocument/2006/relationships" ref="I21" r:id="rId31"/>
    <hyperlink xmlns:r="http://schemas.openxmlformats.org/officeDocument/2006/relationships" ref="J21" r:id="rId32"/>
  </hyperlink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ЭС5 — оборудование (раздел «Оборудование» спецификации), заводские номера и АоРПИ</t>
        </is>
      </c>
    </row>
    <row r="2">
      <c r="A2" s="14" t="inlineStr">
        <is>
          <t>СО: E19006-CXPP-3120-ЭС5.СО-001, ревизия 4В (.doc)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ШЗВ</t>
        </is>
      </c>
      <c r="B6" s="6" t="inlineStr">
        <is>
          <t>Шкаф промежуточных зажимов, 30 зажимов</t>
        </is>
      </c>
      <c r="C6" s="6" t="inlineStr">
        <is>
          <t>ШЗВ-30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1671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В папке АоРПИ 742-3120-ЭС5 лежит копия акта 961 (ЭС4) — акта на ЭС5 фактически нет</t>
        </is>
      </c>
      <c r="N6" s="6" t="n"/>
      <c r="O6" s="6" t="inlineStr">
        <is>
          <t>CHENGDA-MU-IC-1671</t>
        </is>
      </c>
      <c r="P6" s="6" t="n"/>
      <c r="Q6" s="6" t="inlineStr">
        <is>
          <t>нет документов</t>
        </is>
      </c>
      <c r="R6" s="11" t="inlineStr">
        <is>
          <t>RFI 1671 добавлен из сводной</t>
        </is>
      </c>
    </row>
    <row r="7">
      <c r="A7" s="6" t="inlineStr">
        <is>
          <t>ШПС</t>
        </is>
      </c>
      <c r="B7" s="6" t="inlineStr">
        <is>
          <t>Шкаф повторителей сигнала</t>
        </is>
      </c>
      <c r="C7" s="6" t="inlineStr">
        <is>
          <t>ШПС</t>
        </is>
      </c>
      <c r="D7" s="6" t="inlineStr">
        <is>
          <t>шт</t>
        </is>
      </c>
      <c r="E7" s="6" t="n">
        <v>1</v>
      </c>
      <c r="F7" s="6" t="n"/>
      <c r="G7" s="6" t="n">
        <v>0</v>
      </c>
      <c r="H7" s="6" t="n"/>
      <c r="I7" s="6" t="inlineStr">
        <is>
          <t>1671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  <c r="O7" s="6" t="inlineStr">
        <is>
          <t>CHENGDA-MU-IC-1671</t>
        </is>
      </c>
      <c r="P7" s="6" t="n"/>
      <c r="Q7" s="6" t="inlineStr">
        <is>
          <t>нет документов</t>
        </is>
      </c>
      <c r="R7" s="11" t="inlineStr">
        <is>
          <t>RFI 1671 добавлен из сводной</t>
        </is>
      </c>
    </row>
    <row r="8">
      <c r="D8" s="7" t="inlineStr">
        <is>
          <t>Итого</t>
        </is>
      </c>
      <c r="E8" s="7">
        <f>SUM(E6:E7)</f>
        <v/>
      </c>
      <c r="G8" s="7">
        <f>SUM(G6:G7)</f>
        <v/>
      </c>
    </row>
  </sheetData>
  <autoFilter ref="A5:R7"/>
  <conditionalFormatting sqref="F6:F7">
    <cfRule type="expression" priority="5" dxfId="1">
      <formula>$F6=""</formula>
    </cfRule>
  </conditionalFormatting>
  <conditionalFormatting sqref="L6:L7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АСУЭ — оборудование (раздел «Оборудование» спецификации), заводские номера и АоРПИ</t>
        </is>
      </c>
    </row>
    <row r="2">
      <c r="A2" s="14" t="inlineStr">
        <is>
          <t>СО: 03-50-1200-44-АСУЭ.В4-001, ревизия 4С (pdf, 10.07.2026) — сверено с 4А: состав шкафов и оборудования не изменился; в 4С добавлены обозначения шкафов ATMS, изменены кол-ва кабелей/лотков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3121 SEC1</t>
        </is>
      </c>
      <c r="B6" s="6" t="inlineStr">
        <is>
          <t>Шкаф серверного оборудования №1 2200х800х1000</t>
        </is>
      </c>
      <c r="C6" s="6" t="inlineStr">
        <is>
          <t>ИНБРЭС / Бреслер</t>
        </is>
      </c>
      <c r="D6" s="6" t="inlineStr">
        <is>
          <t>компл.</t>
        </is>
      </c>
      <c r="E6" s="6" t="n">
        <v>1</v>
      </c>
      <c r="F6" s="6" t="inlineStr">
        <is>
          <t>2025-ШСО-014</t>
        </is>
      </c>
      <c r="G6" s="6" t="n">
        <v>1</v>
      </c>
      <c r="H6" s="6" t="inlineStr">
        <is>
          <t>АоРПИ 763 / RFI 1556</t>
        </is>
      </c>
      <c r="I6" s="5" t="inlineStr">
        <is>
          <t>1556</t>
        </is>
      </c>
      <c r="J6" s="5" t="inlineStr">
        <is>
          <t>763-3120-АСУЭ-ВК-ЧНД</t>
        </is>
      </c>
      <c r="K6" s="6" t="inlineStr">
        <is>
          <t>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  <c r="O6" s="6" t="inlineStr">
        <is>
          <t>CHENGDA-MU-IC-1556</t>
        </is>
      </c>
      <c r="P6" s="6" t="inlineStr">
        <is>
          <t>763-3120-АСУЭ-ВК-ЧНД</t>
        </is>
      </c>
      <c r="Q6" s="6" t="n"/>
      <c r="R6" s="15" t="inlineStr">
        <is>
          <t>Совпадает</t>
        </is>
      </c>
    </row>
    <row r="7" ht="26.4" customHeight="1" s="19">
      <c r="A7" s="6" t="inlineStr">
        <is>
          <t>3121 SEC2</t>
        </is>
      </c>
      <c r="B7" s="6" t="inlineStr">
        <is>
          <t>Шкаф серверного оборудования №2 2200х800х1000</t>
        </is>
      </c>
      <c r="C7" s="6" t="inlineStr">
        <is>
          <t>ИНБРЭС / Бреслер</t>
        </is>
      </c>
      <c r="D7" s="6" t="inlineStr">
        <is>
          <t>компл.</t>
        </is>
      </c>
      <c r="E7" s="6" t="n">
        <v>1</v>
      </c>
      <c r="F7" s="6" t="inlineStr">
        <is>
          <t>2025-ШСО-015</t>
        </is>
      </c>
      <c r="G7" s="6" t="n">
        <v>1</v>
      </c>
      <c r="H7" s="6" t="inlineStr">
        <is>
          <t>АоРПИ 763 / RFI 1556</t>
        </is>
      </c>
      <c r="I7" s="5" t="inlineStr">
        <is>
          <t>1556</t>
        </is>
      </c>
      <c r="J7" s="5" t="inlineStr">
        <is>
          <t>763-3120-АСУЭ-ВК-ЧНД</t>
        </is>
      </c>
      <c r="K7" s="6" t="inlineStr">
        <is>
          <t>Подписан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  <c r="O7" s="6" t="inlineStr">
        <is>
          <t>CHENGDA-MU-IC-1556</t>
        </is>
      </c>
      <c r="P7" s="6" t="inlineStr">
        <is>
          <t>763-3120-АСУЭ-ВК-ЧНД</t>
        </is>
      </c>
      <c r="Q7" s="6" t="n"/>
      <c r="R7" s="15" t="inlineStr">
        <is>
          <t>Совпадает</t>
        </is>
      </c>
    </row>
    <row r="8" ht="26.4" customHeight="1" s="19">
      <c r="A8" s="6" t="inlineStr">
        <is>
          <t>3121 CCC</t>
        </is>
      </c>
      <c r="B8" s="6" t="inlineStr">
        <is>
          <t>Шкаф контроллеров присоединений 220 кВ</t>
        </is>
      </c>
      <c r="C8" s="6" t="inlineStr">
        <is>
          <t>ИНБРЭС / Бреслер</t>
        </is>
      </c>
      <c r="D8" s="6" t="inlineStr">
        <is>
          <t>компл.</t>
        </is>
      </c>
      <c r="E8" s="6" t="n">
        <v>1</v>
      </c>
      <c r="F8" s="6" t="inlineStr">
        <is>
          <t>2025-ШКП-017</t>
        </is>
      </c>
      <c r="G8" s="6" t="n">
        <v>1</v>
      </c>
      <c r="H8" s="6" t="inlineStr">
        <is>
          <t>АоРПИ 763 / RFI 1556</t>
        </is>
      </c>
      <c r="I8" s="5" t="inlineStr">
        <is>
          <t>1556</t>
        </is>
      </c>
      <c r="J8" s="5" t="inlineStr">
        <is>
          <t>763-3120-АСУЭ-ВК-ЧНД</t>
        </is>
      </c>
      <c r="K8" s="6" t="inlineStr">
        <is>
          <t>Подписан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  <c r="O8" s="6" t="inlineStr">
        <is>
          <t>CHENGDA-MU-IC-1556</t>
        </is>
      </c>
      <c r="P8" s="6" t="inlineStr">
        <is>
          <t>763-3120-АСУЭ-ВК-ЧНД</t>
        </is>
      </c>
      <c r="Q8" s="6" t="n"/>
      <c r="R8" s="15" t="inlineStr">
        <is>
          <t>Совпадает</t>
        </is>
      </c>
    </row>
    <row r="9" ht="26.4" customHeight="1" s="19">
      <c r="A9" s="6" t="inlineStr">
        <is>
          <t>3121 OICC1</t>
        </is>
      </c>
      <c r="B9" s="6" t="inlineStr">
        <is>
          <t>Шкаф устройств сопряжения с объектом №1</t>
        </is>
      </c>
      <c r="C9" s="6" t="inlineStr">
        <is>
          <t>ИНБРЭС / Бреслер</t>
        </is>
      </c>
      <c r="D9" s="6" t="inlineStr">
        <is>
          <t>компл.</t>
        </is>
      </c>
      <c r="E9" s="6" t="n">
        <v>1</v>
      </c>
      <c r="F9" s="6" t="inlineStr">
        <is>
          <t>2025-ШПДС-014</t>
        </is>
      </c>
      <c r="G9" s="6" t="n">
        <v>1</v>
      </c>
      <c r="H9" s="6" t="inlineStr">
        <is>
          <t>АоРПИ 763 / RFI 1556</t>
        </is>
      </c>
      <c r="I9" s="5" t="inlineStr">
        <is>
          <t>1556</t>
        </is>
      </c>
      <c r="J9" s="5" t="inlineStr">
        <is>
          <t>763-3120-АСУЭ-ВК-ЧНД</t>
        </is>
      </c>
      <c r="K9" s="6" t="inlineStr">
        <is>
          <t>Подписан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  <c r="O9" s="6" t="inlineStr">
        <is>
          <t>CHENGDA-MU-IC-1556</t>
        </is>
      </c>
      <c r="P9" s="6" t="inlineStr">
        <is>
          <t>763-3120-АСУЭ-ВК-ЧНД</t>
        </is>
      </c>
      <c r="Q9" s="6" t="n"/>
      <c r="R9" s="15" t="inlineStr">
        <is>
          <t>Совпадает</t>
        </is>
      </c>
    </row>
    <row r="10" ht="26.4" customHeight="1" s="19">
      <c r="A10" s="6" t="inlineStr">
        <is>
          <t>3121 OICC2</t>
        </is>
      </c>
      <c r="B10" s="6" t="inlineStr">
        <is>
          <t>Шкаф устройств сопряжения с объектом №2</t>
        </is>
      </c>
      <c r="C10" s="6" t="inlineStr">
        <is>
          <t>ИНБРЭС / Бреслер</t>
        </is>
      </c>
      <c r="D10" s="6" t="inlineStr">
        <is>
          <t>компл.</t>
        </is>
      </c>
      <c r="E10" s="6" t="n">
        <v>1</v>
      </c>
      <c r="F10" s="6" t="inlineStr">
        <is>
          <t>2025-ШПДС-015</t>
        </is>
      </c>
      <c r="G10" s="6" t="n">
        <v>1</v>
      </c>
      <c r="H10" s="6" t="inlineStr">
        <is>
          <t>АоРПИ 763 / RFI 1556</t>
        </is>
      </c>
      <c r="I10" s="5" t="inlineStr">
        <is>
          <t>1556</t>
        </is>
      </c>
      <c r="J10" s="5" t="inlineStr">
        <is>
          <t>763-3120-АСУЭ-ВК-ЧНД</t>
        </is>
      </c>
      <c r="K10" s="6" t="inlineStr">
        <is>
          <t>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  <c r="O10" s="6" t="inlineStr">
        <is>
          <t>CHENGDA-MU-IC-1556</t>
        </is>
      </c>
      <c r="P10" s="6" t="inlineStr">
        <is>
          <t>763-3120-АСУЭ-ВК-ЧНД</t>
        </is>
      </c>
      <c r="Q10" s="6" t="n"/>
      <c r="R10" s="15" t="inlineStr">
        <is>
          <t>Совпадает</t>
        </is>
      </c>
    </row>
    <row r="11" ht="26.4" customHeight="1" s="19">
      <c r="A11" s="6" t="inlineStr">
        <is>
          <t>3121 OICC3</t>
        </is>
      </c>
      <c r="B11" s="6" t="inlineStr">
        <is>
          <t>Шкаф устройств сопряжения с объектом №3</t>
        </is>
      </c>
      <c r="C11" s="6" t="inlineStr">
        <is>
          <t>ИНБРЭС / Бреслер</t>
        </is>
      </c>
      <c r="D11" s="6" t="inlineStr">
        <is>
          <t>компл.</t>
        </is>
      </c>
      <c r="E11" s="6" t="n">
        <v>1</v>
      </c>
      <c r="F11" s="6" t="inlineStr">
        <is>
          <t>2025-ШПДС-016</t>
        </is>
      </c>
      <c r="G11" s="6" t="n">
        <v>1</v>
      </c>
      <c r="H11" s="6" t="inlineStr">
        <is>
          <t>АоРПИ 763 / RFI 1556</t>
        </is>
      </c>
      <c r="I11" s="5" t="inlineStr">
        <is>
          <t>1556</t>
        </is>
      </c>
      <c r="J11" s="5" t="inlineStr">
        <is>
          <t>763-3120-АСУЭ-ВК-ЧНД</t>
        </is>
      </c>
      <c r="K11" s="6" t="inlineStr">
        <is>
          <t>Подписан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  <c r="O11" s="6" t="inlineStr">
        <is>
          <t>CHENGDA-MU-IC-1556</t>
        </is>
      </c>
      <c r="P11" s="6" t="inlineStr">
        <is>
          <t>763-3120-АСУЭ-ВК-ЧНД</t>
        </is>
      </c>
      <c r="Q11" s="6" t="n"/>
      <c r="R11" s="15" t="inlineStr">
        <is>
          <t>Совпадает</t>
        </is>
      </c>
    </row>
    <row r="12" ht="26.4" customHeight="1" s="19">
      <c r="A12" s="6" t="inlineStr">
        <is>
          <t>3121 SCC</t>
        </is>
      </c>
      <c r="B12" s="6" t="inlineStr">
        <is>
          <t>Шкаф общеподстанционного контроллера (УСО ОПС)</t>
        </is>
      </c>
      <c r="C12" s="6" t="inlineStr">
        <is>
          <t>ИНБРЭС / Бреслер</t>
        </is>
      </c>
      <c r="D12" s="6" t="inlineStr">
        <is>
          <t>компл.</t>
        </is>
      </c>
      <c r="E12" s="6" t="n">
        <v>1</v>
      </c>
      <c r="F12" s="6" t="inlineStr">
        <is>
          <t>2025-ШКП-018</t>
        </is>
      </c>
      <c r="G12" s="6" t="n">
        <v>1</v>
      </c>
      <c r="H12" s="6" t="inlineStr">
        <is>
          <t>АоРПИ 763 / RFI 1556</t>
        </is>
      </c>
      <c r="I12" s="5" t="inlineStr">
        <is>
          <t>1556</t>
        </is>
      </c>
      <c r="J12" s="5" t="inlineStr">
        <is>
          <t>763-3120-АСУЭ-ВК-ЧНД</t>
        </is>
      </c>
      <c r="K12" s="6" t="inlineStr">
        <is>
          <t>Подписан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  <c r="O12" s="6" t="inlineStr">
        <is>
          <t>CHENGDA-MU-IC-1556</t>
        </is>
      </c>
      <c r="P12" s="6" t="inlineStr">
        <is>
          <t>763-3120-АСУЭ-ВК-ЧНД</t>
        </is>
      </c>
      <c r="Q12" s="6" t="n"/>
      <c r="R12" s="15" t="inlineStr">
        <is>
          <t>Совпадает</t>
        </is>
      </c>
    </row>
    <row r="13" ht="26.4" customHeight="1" s="19">
      <c r="A13" s="6" t="inlineStr">
        <is>
          <t>3121 MTC</t>
        </is>
      </c>
      <c r="B13" s="6" t="inlineStr">
        <is>
          <t>Шкаф измерительных преобразователей 220 кВ</t>
        </is>
      </c>
      <c r="C13" s="6" t="inlineStr">
        <is>
          <t>ИНБРЭС / Бреслер</t>
        </is>
      </c>
      <c r="D13" s="6" t="inlineStr">
        <is>
          <t>компл.</t>
        </is>
      </c>
      <c r="E13" s="6" t="n">
        <v>1</v>
      </c>
      <c r="F13" s="6" t="inlineStr">
        <is>
          <t>2025-ШИП-007</t>
        </is>
      </c>
      <c r="G13" s="6" t="n">
        <v>1</v>
      </c>
      <c r="H13" s="6" t="inlineStr">
        <is>
          <t>АоРПИ 763 / RFI 1556</t>
        </is>
      </c>
      <c r="I13" s="5" t="inlineStr">
        <is>
          <t>1556</t>
        </is>
      </c>
      <c r="J13" s="5" t="inlineStr">
        <is>
          <t>763-3120-АСУЭ-ВК-ЧНД</t>
        </is>
      </c>
      <c r="K13" s="6" t="inlineStr">
        <is>
          <t>Подписан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  <c r="O13" s="6" t="inlineStr">
        <is>
          <t>CHENGDA-MU-IC-1556</t>
        </is>
      </c>
      <c r="P13" s="6" t="inlineStr">
        <is>
          <t>763-3120-АСУЭ-ВК-ЧНД</t>
        </is>
      </c>
      <c r="Q13" s="6" t="n"/>
      <c r="R13" s="15" t="inlineStr">
        <is>
          <t>Совпадает</t>
        </is>
      </c>
    </row>
    <row r="14" ht="26.4" customHeight="1" s="19">
      <c r="A14" s="6" t="inlineStr">
        <is>
          <t>3121 NSC</t>
        </is>
      </c>
      <c r="B14" s="6" t="inlineStr">
        <is>
          <t>Шкаф сетевых коммутаторов №1</t>
        </is>
      </c>
      <c r="C14" s="6" t="inlineStr">
        <is>
          <t>ИНБРЭС / Бреслер</t>
        </is>
      </c>
      <c r="D14" s="6" t="inlineStr">
        <is>
          <t>компл.</t>
        </is>
      </c>
      <c r="E14" s="6" t="n">
        <v>1</v>
      </c>
      <c r="F14" s="6" t="inlineStr">
        <is>
          <t>2025-ШСК-021</t>
        </is>
      </c>
      <c r="G14" s="6" t="n">
        <v>1</v>
      </c>
      <c r="H14" s="6" t="inlineStr">
        <is>
          <t>АоРПИ 763 / RFI 1556</t>
        </is>
      </c>
      <c r="I14" s="5" t="inlineStr">
        <is>
          <t>1556</t>
        </is>
      </c>
      <c r="J14" s="5" t="inlineStr">
        <is>
          <t>763-3120-АСУЭ-ВК-ЧНД</t>
        </is>
      </c>
      <c r="K14" s="6" t="inlineStr">
        <is>
          <t>Подписан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CHENGDA-MU-IC-1556</t>
        </is>
      </c>
      <c r="P14" s="6" t="inlineStr">
        <is>
          <t>763-3120-АСУЭ-ВК-ЧНД</t>
        </is>
      </c>
      <c r="Q14" s="6" t="n"/>
      <c r="R14" s="15" t="inlineStr">
        <is>
          <t>Совпадает</t>
        </is>
      </c>
    </row>
    <row r="15" ht="26.4" customHeight="1" s="19">
      <c r="A15" s="6" t="inlineStr">
        <is>
          <t>3123 NSC</t>
        </is>
      </c>
      <c r="B15" s="6" t="inlineStr">
        <is>
          <t>Шкаф сетевых коммутаторов №2</t>
        </is>
      </c>
      <c r="C15" s="6" t="inlineStr">
        <is>
          <t>ИНБРЭС / Бреслер</t>
        </is>
      </c>
      <c r="D15" s="6" t="inlineStr">
        <is>
          <t>компл.</t>
        </is>
      </c>
      <c r="E15" s="6" t="n">
        <v>1</v>
      </c>
      <c r="F15" s="6" t="inlineStr">
        <is>
          <t>2025-ШСК-022</t>
        </is>
      </c>
      <c r="G15" s="6" t="n">
        <v>1</v>
      </c>
      <c r="H15" s="6" t="inlineStr">
        <is>
          <t>АоРПИ 763 / RFI 1556</t>
        </is>
      </c>
      <c r="I15" s="5" t="inlineStr">
        <is>
          <t>1556</t>
        </is>
      </c>
      <c r="J15" s="5" t="inlineStr">
        <is>
          <t>763-3120-АСУЭ-ВК-ЧНД</t>
        </is>
      </c>
      <c r="K15" s="6" t="inlineStr">
        <is>
          <t>Подписан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  <c r="O15" s="6" t="inlineStr">
        <is>
          <t>CHENGDA-MU-IC-1556</t>
        </is>
      </c>
      <c r="P15" s="6" t="inlineStr">
        <is>
          <t>763-3120-АСУЭ-ВК-ЧНД</t>
        </is>
      </c>
      <c r="Q15" s="6" t="n"/>
      <c r="R15" s="15" t="inlineStr">
        <is>
          <t>Совпадает</t>
        </is>
      </c>
    </row>
    <row r="16" ht="26.4" customHeight="1" s="19">
      <c r="A16" s="6" t="inlineStr">
        <is>
          <t>3121 NC1</t>
        </is>
      </c>
      <c r="B16" s="6" t="inlineStr">
        <is>
          <t>Шкаф сетевой №1</t>
        </is>
      </c>
      <c r="C16" s="6" t="inlineStr">
        <is>
          <t>ИНБРЭС / Бреслер</t>
        </is>
      </c>
      <c r="D16" s="6" t="inlineStr">
        <is>
          <t>компл.</t>
        </is>
      </c>
      <c r="E16" s="6" t="n">
        <v>1</v>
      </c>
      <c r="F16" s="6" t="inlineStr">
        <is>
          <t>2025-ШСК-019</t>
        </is>
      </c>
      <c r="G16" s="6" t="n">
        <v>1</v>
      </c>
      <c r="H16" s="6" t="inlineStr">
        <is>
          <t>АоРПИ 763 / RFI 1556</t>
        </is>
      </c>
      <c r="I16" s="5" t="inlineStr">
        <is>
          <t>1556</t>
        </is>
      </c>
      <c r="J16" s="5" t="inlineStr">
        <is>
          <t>763-3120-АСУЭ-ВК-ЧНД</t>
        </is>
      </c>
      <c r="K16" s="6" t="inlineStr">
        <is>
          <t>Подписан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  <c r="O16" s="6" t="inlineStr">
        <is>
          <t>CHENGDA-MU-IC-1556</t>
        </is>
      </c>
      <c r="P16" s="6" t="inlineStr">
        <is>
          <t>763-3120-АСУЭ-ВК-ЧНД</t>
        </is>
      </c>
      <c r="Q16" s="6" t="n"/>
      <c r="R16" s="15" t="inlineStr">
        <is>
          <t>Совпадает</t>
        </is>
      </c>
    </row>
    <row r="17" ht="26.4" customHeight="1" s="19">
      <c r="A17" s="6" t="inlineStr">
        <is>
          <t>3121 NC2</t>
        </is>
      </c>
      <c r="B17" s="6" t="inlineStr">
        <is>
          <t>Шкаф сетевой №2</t>
        </is>
      </c>
      <c r="C17" s="6" t="inlineStr">
        <is>
          <t>ИНБРЭС / Бреслер</t>
        </is>
      </c>
      <c r="D17" s="6" t="inlineStr">
        <is>
          <t>компл.</t>
        </is>
      </c>
      <c r="E17" s="6" t="n">
        <v>1</v>
      </c>
      <c r="F17" s="6" t="inlineStr">
        <is>
          <t>2025-ШСК-020</t>
        </is>
      </c>
      <c r="G17" s="6" t="n">
        <v>1</v>
      </c>
      <c r="H17" s="6" t="inlineStr">
        <is>
          <t>АоРПИ 763 / RFI 1556</t>
        </is>
      </c>
      <c r="I17" s="5" t="inlineStr">
        <is>
          <t>1556</t>
        </is>
      </c>
      <c r="J17" s="5" t="inlineStr">
        <is>
          <t>763-3120-АСУЭ-ВК-ЧНД</t>
        </is>
      </c>
      <c r="K17" s="6" t="inlineStr">
        <is>
          <t>Подписан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  <c r="O17" s="6" t="inlineStr">
        <is>
          <t>CHENGDA-MU-IC-1556</t>
        </is>
      </c>
      <c r="P17" s="6" t="inlineStr">
        <is>
          <t>763-3120-АСУЭ-ВК-ЧНД</t>
        </is>
      </c>
      <c r="Q17" s="6" t="n"/>
      <c r="R17" s="15" t="inlineStr">
        <is>
          <t>Совпадает</t>
        </is>
      </c>
    </row>
    <row r="18" ht="26.4" customHeight="1" s="19">
      <c r="A18" s="6" t="inlineStr">
        <is>
          <t>4051 NC</t>
        </is>
      </c>
      <c r="B18" s="6" t="inlineStr">
        <is>
          <t>Шкаф сетевой 600х600х400 (АРМ, тит. 4051)</t>
        </is>
      </c>
      <c r="C18" s="6" t="inlineStr">
        <is>
          <t>ИНБРЭС / Бреслер</t>
        </is>
      </c>
      <c r="D18" s="6" t="inlineStr">
        <is>
          <t>компл.</t>
        </is>
      </c>
      <c r="E18" s="6" t="n">
        <v>1</v>
      </c>
      <c r="F18" s="6" t="inlineStr">
        <is>
          <t>2025-ШСК-023</t>
        </is>
      </c>
      <c r="G18" s="6" t="n">
        <v>1</v>
      </c>
      <c r="H18" s="6" t="inlineStr">
        <is>
          <t>АоРПИ 763 / RFI 1556</t>
        </is>
      </c>
      <c r="I18" s="5" t="inlineStr">
        <is>
          <t>1556</t>
        </is>
      </c>
      <c r="J18" s="5" t="inlineStr">
        <is>
          <t>763-3120-АСУЭ-ВК-ЧНД</t>
        </is>
      </c>
      <c r="K18" s="6" t="inlineStr">
        <is>
          <t>Подписан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6" t="n"/>
      <c r="O18" s="6" t="inlineStr">
        <is>
          <t>CHENGDA-MU-IC-1556</t>
        </is>
      </c>
      <c r="P18" s="6" t="inlineStr">
        <is>
          <t>763-3120-АСУЭ-ВК-ЧНД</t>
        </is>
      </c>
      <c r="Q18" s="6" t="n"/>
      <c r="R18" s="15" t="inlineStr">
        <is>
          <t>Совпадает</t>
        </is>
      </c>
    </row>
    <row r="19" ht="39.6" customHeight="1" s="19">
      <c r="A19" s="6" t="inlineStr">
        <is>
          <t>3121 ATMS PD</t>
        </is>
      </c>
      <c r="B19" s="6" t="inlineStr">
        <is>
          <t>Шкаф распределения электропитания системы мониторинга трансформаторного оборудования (ВЦ.435234.001 по СО 4С)</t>
        </is>
      </c>
      <c r="C19" s="6" t="inlineStr">
        <is>
          <t>ИНБРЭС / Бреслер</t>
        </is>
      </c>
      <c r="D19" s="6" t="inlineStr">
        <is>
          <t>компл.</t>
        </is>
      </c>
      <c r="E19" s="6" t="n">
        <v>1</v>
      </c>
      <c r="F19" s="6" t="inlineStr">
        <is>
          <t>273</t>
        </is>
      </c>
      <c r="G19" s="6" t="n">
        <v>1</v>
      </c>
      <c r="H19" s="6" t="inlineStr">
        <is>
          <t>АоРПИ 763 / RFI 1556(1)-1</t>
        </is>
      </c>
      <c r="I19" s="5" t="inlineStr">
        <is>
          <t>1556(1)-1, 1556</t>
        </is>
      </c>
      <c r="J19" s="5" t="inlineStr">
        <is>
          <t>763-3120-АСУЭ-ВК-ЧНД</t>
        </is>
      </c>
      <c r="K19" s="6" t="inlineStr">
        <is>
          <t>Подписан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6" t="n"/>
      <c r="O19" s="6" t="inlineStr">
        <is>
          <t>CHENGDA-MU-IC-1556</t>
        </is>
      </c>
      <c r="P19" s="6" t="inlineStr">
        <is>
          <t>763-3120-АСУЭ-ВК-ЧНД</t>
        </is>
      </c>
      <c r="Q19" s="6" t="n"/>
      <c r="R19" s="11" t="inlineStr">
        <is>
          <t>RFI 1556 добавлен из сводной</t>
        </is>
      </c>
    </row>
    <row r="20" ht="52.8" customHeight="1" s="19">
      <c r="A20" s="6" t="inlineStr">
        <is>
          <t>3122 ATMS1</t>
        </is>
      </c>
      <c r="B20" s="6" t="inlineStr">
        <is>
          <t>Шкаф системы мониторинга трансформатора №1 800х800х250 с датчиками и кабелем (ВЦ.421789.001.03459/1583 по СО 4С; TDM-PP013459)</t>
        </is>
      </c>
      <c r="C20" s="6" t="inlineStr">
        <is>
          <t>ИНБРЭС / Бреслер</t>
        </is>
      </c>
      <c r="D20" s="6" t="inlineStr">
        <is>
          <t>компл.</t>
        </is>
      </c>
      <c r="E20" s="6" t="n">
        <v>1</v>
      </c>
      <c r="F20" s="6" t="inlineStr">
        <is>
          <t>1100</t>
        </is>
      </c>
      <c r="G20" s="6" t="n">
        <v>1</v>
      </c>
      <c r="H20" s="6" t="inlineStr">
        <is>
          <t>АоРПИ 763 / RFI 1556(1)-1</t>
        </is>
      </c>
      <c r="I20" s="5" t="inlineStr">
        <is>
          <t>1556(1)-1, 1556</t>
        </is>
      </c>
      <c r="J20" s="5" t="inlineStr">
        <is>
          <t>763-3120-АСУЭ-ВК-ЧНД</t>
        </is>
      </c>
      <c r="K20" s="6" t="inlineStr">
        <is>
          <t>Подписан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  <c r="O20" s="6" t="inlineStr">
        <is>
          <t>CHENGDA-MU-IC-1556</t>
        </is>
      </c>
      <c r="P20" s="6" t="inlineStr">
        <is>
          <t>763-3120-АСУЭ-ВК-ЧНД</t>
        </is>
      </c>
      <c r="Q20" s="6" t="n"/>
      <c r="R20" s="11" t="inlineStr">
        <is>
          <t>RFI 1556 добавлен из сводной</t>
        </is>
      </c>
    </row>
    <row r="21" ht="52.8" customHeight="1" s="19">
      <c r="A21" s="6" t="inlineStr">
        <is>
          <t>3122 ATMS2</t>
        </is>
      </c>
      <c r="B21" s="6" t="inlineStr">
        <is>
          <t>Шкаф системы мониторинга трансформатора №2 800х800х250 с датчиками и кабелем (ВЦ.421789.001.03459/1583 по СО 4С; TDM-PP013459)</t>
        </is>
      </c>
      <c r="C21" s="6" t="inlineStr">
        <is>
          <t>ИНБРЭС / Бреслер</t>
        </is>
      </c>
      <c r="D21" s="6" t="inlineStr">
        <is>
          <t>компл.</t>
        </is>
      </c>
      <c r="E21" s="6" t="n">
        <v>1</v>
      </c>
      <c r="F21" s="6" t="inlineStr">
        <is>
          <t>1101</t>
        </is>
      </c>
      <c r="G21" s="6" t="n">
        <v>1</v>
      </c>
      <c r="H21" s="6" t="inlineStr">
        <is>
          <t>АоРПИ 763 / RFI 1556(1)-1</t>
        </is>
      </c>
      <c r="I21" s="5" t="inlineStr">
        <is>
          <t>1556(1)-1, 1556</t>
        </is>
      </c>
      <c r="J21" s="5" t="inlineStr">
        <is>
          <t>763-3120-АСУЭ-ВК-ЧНД</t>
        </is>
      </c>
      <c r="K21" s="6" t="inlineStr">
        <is>
          <t>Подписан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  <c r="O21" s="6" t="inlineStr">
        <is>
          <t>CHENGDA-MU-IC-1556</t>
        </is>
      </c>
      <c r="P21" s="6" t="inlineStr">
        <is>
          <t>763-3120-АСУЭ-ВК-ЧНД</t>
        </is>
      </c>
      <c r="Q21" s="6" t="n"/>
      <c r="R21" s="11" t="inlineStr">
        <is>
          <t>RFI 1556 добавлен из сводной</t>
        </is>
      </c>
    </row>
    <row r="22" ht="39.6" customHeight="1" s="19">
      <c r="A22" s="6" t="inlineStr">
        <is>
          <t>3121 PQMS</t>
        </is>
      </c>
      <c r="B22" s="6" t="inlineStr">
        <is>
          <t>Шкаф системы мониторинга и управления качеством электроэнергии (Бреслер-0117.948.01)</t>
        </is>
      </c>
      <c r="C22" s="6" t="inlineStr">
        <is>
          <t>ИНБРЭС / Бреслер</t>
        </is>
      </c>
      <c r="D22" s="6" t="inlineStr">
        <is>
          <t>компл.</t>
        </is>
      </c>
      <c r="E22" s="6" t="n">
        <v>1</v>
      </c>
      <c r="F22" s="6" t="inlineStr">
        <is>
          <t>10589/45</t>
        </is>
      </c>
      <c r="G22" s="6" t="n">
        <v>1</v>
      </c>
      <c r="H22" s="6" t="inlineStr">
        <is>
          <t>АоРПИ 763 / RFI 1556</t>
        </is>
      </c>
      <c r="I22" s="5" t="inlineStr">
        <is>
          <t>1556</t>
        </is>
      </c>
      <c r="J22" s="5" t="inlineStr">
        <is>
          <t>763-3120-АСУЭ-ВК-ЧНД</t>
        </is>
      </c>
      <c r="K22" s="6" t="inlineStr">
        <is>
          <t>Подписан</t>
        </is>
      </c>
      <c r="L22" s="6">
        <f>IF(F22="",IF(J22="-","Нет зав. №, нет АоРПИ","Нет зав. №"),IF(G22&lt;E22,"Зав. № не все ("&amp;G22&amp;" из "&amp;E22&amp;")",IF(J22="-","Зав. № есть, АоРПИ нет",IF(K22="Подписан","ОК: зав. № + АоРПИ подписан","Зав. № есть, АоРПИ не подписан"))))</f>
        <v/>
      </c>
      <c r="M22" s="6" t="n"/>
      <c r="N22" s="6" t="n"/>
      <c r="O22" s="6" t="inlineStr">
        <is>
          <t>CHENGDA-MU-IC-1556</t>
        </is>
      </c>
      <c r="P22" s="6" t="inlineStr">
        <is>
          <t>763-3120-АСУЭ-ВК-ЧНД</t>
        </is>
      </c>
      <c r="Q22" s="6" t="n"/>
      <c r="R22" s="15" t="inlineStr">
        <is>
          <t>Совпадает</t>
        </is>
      </c>
    </row>
    <row r="23" ht="26.4" customHeight="1" s="19">
      <c r="A23" s="6" t="inlineStr">
        <is>
          <t>АРМ 4051</t>
        </is>
      </c>
      <c r="B23" s="6" t="inlineStr">
        <is>
          <t>Монитор Delta Computers 27"</t>
        </is>
      </c>
      <c r="C23" s="6" t="inlineStr">
        <is>
          <t>М2701/2КР/LCD</t>
        </is>
      </c>
      <c r="D23" s="6" t="inlineStr">
        <is>
          <t>шт</t>
        </is>
      </c>
      <c r="E23" s="6" t="n">
        <v>6</v>
      </c>
      <c r="F23" s="6" t="n"/>
      <c r="G23" s="6" t="n">
        <v>0</v>
      </c>
      <c r="H23" s="6" t="n"/>
      <c r="I23" s="6" t="inlineStr">
        <is>
          <t>1556(1)</t>
        </is>
      </c>
      <c r="J23" s="6" t="inlineStr">
        <is>
          <t>-</t>
        </is>
      </c>
      <c r="K23" s="6" t="inlineStr">
        <is>
          <t>-</t>
        </is>
      </c>
      <c r="L23" s="6">
        <f>IF(F23="",IF(J23="-","Нет зав. №, нет АоРПИ","Нет зав. №"),IF(G23&lt;E23,"Зав. № не все ("&amp;G23&amp;" из "&amp;E23&amp;")",IF(J23="-","Зав. № есть, АоРПИ нет",IF(K23="Подписан","ОК: зав. № + АоРПИ подписан","Зав. № есть, АоРПИ не подписан"))))</f>
        <v/>
      </c>
      <c r="M23" s="6" t="n"/>
      <c r="N23" s="6" t="n"/>
      <c r="O23" s="6" t="inlineStr">
        <is>
          <t>CHENGDA-MU-IC-1556 (1)</t>
        </is>
      </c>
      <c r="P23" s="6" t="n"/>
      <c r="Q23" s="6" t="inlineStr">
        <is>
          <t>Нужно проверить, еще не обработана</t>
        </is>
      </c>
      <c r="R23" s="11" t="inlineStr">
        <is>
          <t>RFI 1556(1) добавлен из сводной</t>
        </is>
      </c>
    </row>
    <row r="24" ht="26.4" customHeight="1" s="19">
      <c r="A24" s="6" t="inlineStr">
        <is>
          <t>АРМ 4051</t>
        </is>
      </c>
      <c r="B24" s="6" t="inlineStr">
        <is>
          <t>Принтер HP Color LaserJet CP5225dn</t>
        </is>
      </c>
      <c r="C24" s="6" t="inlineStr">
        <is>
          <t>CE712A</t>
        </is>
      </c>
      <c r="D24" s="6" t="inlineStr">
        <is>
          <t>шт</t>
        </is>
      </c>
      <c r="E24" s="6" t="n">
        <v>1</v>
      </c>
      <c r="F24" s="6" t="n"/>
      <c r="G24" s="6" t="n">
        <v>0</v>
      </c>
      <c r="H24" s="6" t="n"/>
      <c r="I24" s="6" t="inlineStr">
        <is>
          <t>1556(1)</t>
        </is>
      </c>
      <c r="J24" s="6" t="inlineStr">
        <is>
          <t>-</t>
        </is>
      </c>
      <c r="K24" s="6" t="inlineStr">
        <is>
          <t>-</t>
        </is>
      </c>
      <c r="L24" s="6">
        <f>IF(F24="",IF(J24="-","Нет зав. №, нет АоРПИ","Нет зав. №"),IF(G24&lt;E24,"Зав. № не все ("&amp;G24&amp;" из "&amp;E24&amp;")",IF(J24="-","Зав. № есть, АоРПИ нет",IF(K24="Подписан","ОК: зав. № + АоРПИ подписан","Зав. № есть, АоРПИ не подписан"))))</f>
        <v/>
      </c>
      <c r="M24" s="6" t="n"/>
      <c r="N24" s="6" t="n"/>
      <c r="O24" s="6" t="inlineStr">
        <is>
          <t>CHENGDA-MU-IC-1556 (1)</t>
        </is>
      </c>
      <c r="P24" s="6" t="n"/>
      <c r="Q24" s="6" t="inlineStr">
        <is>
          <t>Нужно проверить, еще не обработана</t>
        </is>
      </c>
      <c r="R24" s="11" t="inlineStr">
        <is>
          <t>RFI 1556(1) добавлен из сводной</t>
        </is>
      </c>
    </row>
    <row r="25" ht="26.4" customHeight="1" s="19">
      <c r="A25" s="6" t="inlineStr">
        <is>
          <t>АРМ 4051</t>
        </is>
      </c>
      <c r="B25" s="6" t="inlineStr">
        <is>
          <t>МФУ HP LaserJet Pro 4103dw</t>
        </is>
      </c>
      <c r="C25" s="6" t="inlineStr">
        <is>
          <t>2Z627A</t>
        </is>
      </c>
      <c r="D25" s="6" t="inlineStr">
        <is>
          <t>шт</t>
        </is>
      </c>
      <c r="E25" s="6" t="n">
        <v>1</v>
      </c>
      <c r="F25" s="6" t="n"/>
      <c r="G25" s="6" t="n">
        <v>0</v>
      </c>
      <c r="H25" s="6" t="n"/>
      <c r="I25" s="6" t="inlineStr">
        <is>
          <t>1556(1)</t>
        </is>
      </c>
      <c r="J25" s="6" t="inlineStr">
        <is>
          <t>-</t>
        </is>
      </c>
      <c r="K25" s="6" t="inlineStr">
        <is>
          <t>-</t>
        </is>
      </c>
      <c r="L25" s="6">
        <f>IF(F25="",IF(J25="-","Нет зав. №, нет АоРПИ","Нет зав. №"),IF(G25&lt;E25,"Зав. № не все ("&amp;G25&amp;" из "&amp;E25&amp;")",IF(J25="-","Зав. № есть, АоРПИ нет",IF(K25="Подписан","ОК: зав. № + АоРПИ подписан","Зав. № есть, АоРПИ не подписан"))))</f>
        <v/>
      </c>
      <c r="M25" s="6" t="n"/>
      <c r="N25" s="6" t="n"/>
      <c r="O25" s="6" t="inlineStr">
        <is>
          <t>CHENGDA-MU-IC-1556 (1)</t>
        </is>
      </c>
      <c r="P25" s="6" t="n"/>
      <c r="Q25" s="6" t="inlineStr">
        <is>
          <t>Нужно проверить, еще не обработана</t>
        </is>
      </c>
      <c r="R25" s="11" t="inlineStr">
        <is>
          <t>RFI 1556(1) добавлен из сводной</t>
        </is>
      </c>
    </row>
    <row r="26" ht="26.4" customHeight="1" s="19">
      <c r="A26" s="6" t="inlineStr">
        <is>
          <t>АРМ СМиУКЭ/РЗА/АСУЭ</t>
        </is>
      </c>
      <c r="B26" s="6" t="inlineStr">
        <is>
          <t>Ноутбук Acer Aspire 5 A515-57</t>
        </is>
      </c>
      <c r="C26" s="6" t="inlineStr">
        <is>
          <t>A515-57-506D</t>
        </is>
      </c>
      <c r="D26" s="6" t="inlineStr">
        <is>
          <t>шт</t>
        </is>
      </c>
      <c r="E26" s="6" t="n">
        <v>3</v>
      </c>
      <c r="F26" s="6" t="n"/>
      <c r="G26" s="6" t="n">
        <v>0</v>
      </c>
      <c r="H26" s="6" t="n"/>
      <c r="I26" s="6" t="inlineStr">
        <is>
          <t>1556(1)</t>
        </is>
      </c>
      <c r="J26" s="6" t="inlineStr">
        <is>
          <t>-</t>
        </is>
      </c>
      <c r="K26" s="6" t="inlineStr">
        <is>
          <t>-</t>
        </is>
      </c>
      <c r="L26" s="6">
        <f>IF(F26="",IF(J26="-","Нет зав. №, нет АоРПИ","Нет зав. №"),IF(G26&lt;E26,"Зав. № не все ("&amp;G26&amp;" из "&amp;E26&amp;")",IF(J26="-","Зав. № есть, АоРПИ нет",IF(K26="Подписан","ОК: зав. № + АоРПИ подписан","Зав. № есть, АоРПИ не подписан"))))</f>
        <v/>
      </c>
      <c r="M26" s="6" t="n"/>
      <c r="N26" s="6" t="n"/>
      <c r="O26" s="6" t="inlineStr">
        <is>
          <t>CHENGDA-MU-IC-1556 (1)</t>
        </is>
      </c>
      <c r="P26" s="17" t="inlineStr">
        <is>
          <t>已到货</t>
        </is>
      </c>
      <c r="Q26" s="6" t="inlineStr">
        <is>
          <t>Нужно проверить, еще не обработана</t>
        </is>
      </c>
      <c r="R26" s="11" t="inlineStr">
        <is>
          <t>RFI 1556(1) добавлен из сводной</t>
        </is>
      </c>
    </row>
    <row r="27" ht="26.4" customHeight="1" s="19">
      <c r="A27" s="6" t="inlineStr">
        <is>
          <t>—</t>
        </is>
      </c>
      <c r="B27" s="6" t="inlineStr">
        <is>
          <t>Антенна ГЛОНАСС/GPS</t>
        </is>
      </c>
      <c r="C27" s="6" t="inlineStr">
        <is>
          <t>GPS-P.50MP</t>
        </is>
      </c>
      <c r="D27" s="6" t="inlineStr">
        <is>
          <t>шт</t>
        </is>
      </c>
      <c r="E27" s="6" t="n">
        <v>3</v>
      </c>
      <c r="F27" s="6" t="n"/>
      <c r="G27" s="6" t="n">
        <v>0</v>
      </c>
      <c r="H27" s="6" t="n"/>
      <c r="I27" s="6" t="inlineStr">
        <is>
          <t>1556(1)</t>
        </is>
      </c>
      <c r="J27" s="6" t="inlineStr">
        <is>
          <t>-</t>
        </is>
      </c>
      <c r="K27" s="6" t="inlineStr">
        <is>
          <t>-</t>
        </is>
      </c>
      <c r="L27" s="6">
        <f>IF(F27="",IF(J27="-","Нет зав. №, нет АоРПИ","Нет зав. №"),IF(G27&lt;E27,"Зав. № не все ("&amp;G27&amp;" из "&amp;E27&amp;")",IF(J27="-","Зав. № есть, АоРПИ нет",IF(K27="Подписан","ОК: зав. № + АоРПИ подписан","Зав. № есть, АоРПИ не подписан"))))</f>
        <v/>
      </c>
      <c r="M27" s="6" t="n"/>
      <c r="N27" s="6" t="n"/>
      <c r="O27" s="6" t="inlineStr">
        <is>
          <t>CHENGDA-MU-IC-1556 (1)</t>
        </is>
      </c>
      <c r="P27" s="17" t="inlineStr">
        <is>
          <t>已到货</t>
        </is>
      </c>
      <c r="Q27" s="6" t="inlineStr">
        <is>
          <t>Нужно проверить, еще не обработана</t>
        </is>
      </c>
      <c r="R27" s="11" t="inlineStr">
        <is>
          <t>RFI 1556(1) добавлен из сводной</t>
        </is>
      </c>
    </row>
    <row r="28" ht="26.4" customHeight="1" s="19">
      <c r="A28" s="6" t="inlineStr">
        <is>
          <t>—</t>
        </is>
      </c>
      <c r="B28" s="6" t="inlineStr">
        <is>
          <t>Метеостанция</t>
        </is>
      </c>
      <c r="C28" s="6" t="inlineStr">
        <is>
          <t>IMETEOLABS PWS-600R</t>
        </is>
      </c>
      <c r="D28" s="6" t="inlineStr">
        <is>
          <t>шт</t>
        </is>
      </c>
      <c r="E28" s="6" t="n">
        <v>1</v>
      </c>
      <c r="F28" s="6" t="n"/>
      <c r="G28" s="6" t="n">
        <v>0</v>
      </c>
      <c r="H28" s="6" t="n"/>
      <c r="I28" s="5" t="inlineStr">
        <is>
          <t>1556(2), 1556(1)</t>
        </is>
      </c>
      <c r="J28" s="6" t="inlineStr">
        <is>
          <t>-</t>
        </is>
      </c>
      <c r="K28" s="6" t="inlineStr">
        <is>
          <t>-</t>
        </is>
      </c>
      <c r="L28" s="6">
        <f>IF(F28="",IF(J28="-","Нет зав. №, нет АоРПИ","Нет зав. №"),IF(G28&lt;E28,"Зав. № не все ("&amp;G28&amp;" из "&amp;E28&amp;")",IF(J28="-","Зав. № есть, АоРПИ нет",IF(K28="Подписан","ОК: зав. № + АоРПИ подписан","Зав. № есть, АоРПИ не подписан"))))</f>
        <v/>
      </c>
      <c r="M28" s="6" t="inlineStr">
        <is>
          <t>Поставлена в ЗИП RFI 1556(2), зав. № не указан</t>
        </is>
      </c>
      <c r="N28" s="6" t="n"/>
      <c r="O28" s="6" t="inlineStr">
        <is>
          <t>CHENGDA-MU-IC-1556 (1)</t>
        </is>
      </c>
      <c r="P28" s="17" t="inlineStr">
        <is>
          <t>已到货</t>
        </is>
      </c>
      <c r="Q28" s="6" t="inlineStr">
        <is>
          <t>Нужно проверить, еще не обработана</t>
        </is>
      </c>
      <c r="R28" s="11" t="inlineStr">
        <is>
          <t>RFI 1556(1) добавлен из сводной</t>
        </is>
      </c>
    </row>
    <row r="29" ht="26.4" customHeight="1" s="19">
      <c r="A29" s="6" t="inlineStr">
        <is>
          <t>АРМ 4051</t>
        </is>
      </c>
      <c r="B29" s="6" t="inlineStr">
        <is>
          <t>Клавиатура и мышь</t>
        </is>
      </c>
      <c r="C29" s="6" t="n"/>
      <c r="D29" s="6" t="inlineStr">
        <is>
          <t>компл.</t>
        </is>
      </c>
      <c r="E29" s="6" t="n">
        <v>4</v>
      </c>
      <c r="F29" s="6" t="n"/>
      <c r="G29" s="6" t="n">
        <v>0</v>
      </c>
      <c r="H29" s="6" t="n"/>
      <c r="I29" s="6" t="inlineStr">
        <is>
          <t>1556(1)</t>
        </is>
      </c>
      <c r="J29" s="6" t="inlineStr">
        <is>
          <t>-</t>
        </is>
      </c>
      <c r="K29" s="6" t="inlineStr">
        <is>
          <t>-</t>
        </is>
      </c>
      <c r="L29" s="6">
        <f>IF(F29="",IF(J29="-","Нет зав. №, нет АоРПИ","Нет зав. №"),IF(G29&lt;E29,"Зав. № не все ("&amp;G29&amp;" из "&amp;E29&amp;")",IF(J29="-","Зав. № есть, АоРПИ нет",IF(K29="Подписан","ОК: зав. № + АоРПИ подписан","Зав. № есть, АоРПИ не подписан"))))</f>
        <v/>
      </c>
      <c r="M29" s="6" t="n"/>
      <c r="N29" s="6" t="n"/>
      <c r="O29" s="6" t="inlineStr">
        <is>
          <t>CHENGDA-MU-IC-1556 (1)</t>
        </is>
      </c>
      <c r="P29" s="6" t="n"/>
      <c r="Q29" s="6" t="inlineStr">
        <is>
          <t>Нужно проверить, еще не обработана</t>
        </is>
      </c>
      <c r="R29" s="11" t="inlineStr">
        <is>
          <t>Позиция добавлена из сводной 17.08.2026; RFI 1556(1) добавлен из сводной</t>
        </is>
      </c>
    </row>
    <row r="30" ht="26.4" customHeight="1" s="19">
      <c r="A30" s="6" t="inlineStr">
        <is>
          <t>АРМ 4051</t>
        </is>
      </c>
      <c r="B30" s="6" t="inlineStr">
        <is>
          <t>Сетевой удлинитель</t>
        </is>
      </c>
      <c r="C30" s="6" t="n"/>
      <c r="D30" s="6" t="inlineStr">
        <is>
          <t>компл.</t>
        </is>
      </c>
      <c r="E30" s="6" t="n">
        <v>4</v>
      </c>
      <c r="F30" s="6" t="n"/>
      <c r="G30" s="6" t="n">
        <v>0</v>
      </c>
      <c r="H30" s="6" t="n"/>
      <c r="I30" s="6" t="inlineStr">
        <is>
          <t>1556(1)</t>
        </is>
      </c>
      <c r="J30" s="6" t="inlineStr">
        <is>
          <t>-</t>
        </is>
      </c>
      <c r="K30" s="6" t="inlineStr">
        <is>
          <t>-</t>
        </is>
      </c>
      <c r="L30" s="6">
        <f>IF(F30="",IF(J30="-","Нет зав. №, нет АоРПИ","Нет зав. №"),IF(G30&lt;E30,"Зав. № не все ("&amp;G30&amp;" из "&amp;E30&amp;")",IF(J30="-","Зав. № есть, АоРПИ нет",IF(K30="Подписан","ОК: зав. № + АоРПИ подписан","Зав. № есть, АоРПИ не подписан"))))</f>
        <v/>
      </c>
      <c r="M30" s="6" t="n"/>
      <c r="N30" s="6" t="n"/>
      <c r="O30" s="6" t="inlineStr">
        <is>
          <t>CHENGDA-MU-IC-1556 (1)</t>
        </is>
      </c>
      <c r="P30" s="6" t="n"/>
      <c r="Q30" s="6" t="inlineStr">
        <is>
          <t>Нужно проверить, еще не обработана</t>
        </is>
      </c>
      <c r="R30" s="11" t="inlineStr">
        <is>
          <t>Позиция добавлена из сводной 17.08.2026; RFI 1556(1) добавлен из сводной</t>
        </is>
      </c>
    </row>
    <row r="31" ht="26.4" customHeight="1" s="19">
      <c r="A31" s="6" t="inlineStr">
        <is>
          <t>АРМ СМиУКЭ/РЗА/АСУЭ</t>
        </is>
      </c>
      <c r="B31" s="6" t="inlineStr">
        <is>
          <t>ОС Astra Linux 1.8</t>
        </is>
      </c>
      <c r="C31" s="6" t="inlineStr">
        <is>
          <t>РусБИТех-Астра</t>
        </is>
      </c>
      <c r="D31" s="6" t="inlineStr">
        <is>
          <t>шт</t>
        </is>
      </c>
      <c r="E31" s="6" t="n">
        <v>3</v>
      </c>
      <c r="F31" s="6" t="n"/>
      <c r="G31" s="6" t="n">
        <v>0</v>
      </c>
      <c r="H31" s="6" t="n"/>
      <c r="I31" s="6" t="inlineStr">
        <is>
          <t>1556(1)</t>
        </is>
      </c>
      <c r="J31" s="6" t="inlineStr">
        <is>
          <t>-</t>
        </is>
      </c>
      <c r="K31" s="6" t="inlineStr">
        <is>
          <t>-</t>
        </is>
      </c>
      <c r="L31" s="6">
        <f>IF(F31="",IF(J31="-","Нет зав. №, нет АоРПИ","Нет зав. №"),IF(G31&lt;E31,"Зав. № не все ("&amp;G31&amp;" из "&amp;E31&amp;")",IF(J31="-","Зав. № есть, АоРПИ нет",IF(K31="Подписан","ОК: зав. № + АоРПИ подписан","Зав. № есть, АоРПИ не подписан"))))</f>
        <v/>
      </c>
      <c r="M31" s="6" t="n"/>
      <c r="N31" s="6" t="n"/>
      <c r="O31" s="6" t="inlineStr">
        <is>
          <t>CHENGDA-MU-IC-1556 (1)</t>
        </is>
      </c>
      <c r="P31" s="17" t="inlineStr">
        <is>
          <t>已到货</t>
        </is>
      </c>
      <c r="Q31" s="6" t="inlineStr">
        <is>
          <t>Нужно проверить, еще не обработана</t>
        </is>
      </c>
      <c r="R31" s="11" t="inlineStr">
        <is>
          <t>Позиция добавлена из сводной 17.08.2026; RFI 1556(1) добавлен из сводной</t>
        </is>
      </c>
    </row>
    <row r="32" ht="26.4" customHeight="1" s="19">
      <c r="A32" s="6" t="inlineStr">
        <is>
          <t>АРМ</t>
        </is>
      </c>
      <c r="B32" s="6" t="inlineStr">
        <is>
          <t>Кабель DB9–USB</t>
        </is>
      </c>
      <c r="C32" s="6" t="inlineStr">
        <is>
          <t>UGREEN CR104</t>
        </is>
      </c>
      <c r="D32" s="6" t="inlineStr">
        <is>
          <t>шт</t>
        </is>
      </c>
      <c r="E32" s="6" t="n">
        <v>3</v>
      </c>
      <c r="F32" s="6" t="n"/>
      <c r="G32" s="6" t="n">
        <v>0</v>
      </c>
      <c r="H32" s="6" t="n"/>
      <c r="I32" s="6" t="inlineStr">
        <is>
          <t>1556(1)</t>
        </is>
      </c>
      <c r="J32" s="6" t="inlineStr">
        <is>
          <t>-</t>
        </is>
      </c>
      <c r="K32" s="6" t="inlineStr">
        <is>
          <t>-</t>
        </is>
      </c>
      <c r="L32" s="6">
        <f>IF(F32="",IF(J32="-","Нет зав. №, нет АоРПИ","Нет зав. №"),IF(G32&lt;E32,"Зав. № не все ("&amp;G32&amp;" из "&amp;E32&amp;")",IF(J32="-","Зав. № есть, АоРПИ нет",IF(K32="Подписан","ОК: зав. № + АоРПИ подписан","Зав. № есть, АоРПИ не подписан"))))</f>
        <v/>
      </c>
      <c r="M32" s="6" t="n"/>
      <c r="N32" s="6" t="n"/>
      <c r="O32" s="6" t="inlineStr">
        <is>
          <t>CHENGDA-MU-IC-1556 (1)</t>
        </is>
      </c>
      <c r="P32" s="17" t="inlineStr">
        <is>
          <t>已到货</t>
        </is>
      </c>
      <c r="Q32" s="6" t="inlineStr">
        <is>
          <t>Нужно проверить, еще не обработана</t>
        </is>
      </c>
      <c r="R32" s="11" t="inlineStr">
        <is>
          <t>Позиция добавлена из сводной 17.08.2026; RFI 1556(1) добавлен из сводной</t>
        </is>
      </c>
    </row>
    <row r="33" ht="26.4" customHeight="1" s="19">
      <c r="A33" s="6" t="inlineStr">
        <is>
          <t>АРМ</t>
        </is>
      </c>
      <c r="B33" s="6" t="inlineStr">
        <is>
          <t>Мышь беспроводная</t>
        </is>
      </c>
      <c r="C33" s="6" t="inlineStr">
        <is>
          <t>A4TECH Fstyler FG10S</t>
        </is>
      </c>
      <c r="D33" s="6" t="inlineStr">
        <is>
          <t>шт</t>
        </is>
      </c>
      <c r="E33" s="6" t="n">
        <v>3</v>
      </c>
      <c r="F33" s="6" t="n"/>
      <c r="G33" s="6" t="n">
        <v>0</v>
      </c>
      <c r="H33" s="6" t="n"/>
      <c r="I33" s="6" t="inlineStr">
        <is>
          <t>1556(1)</t>
        </is>
      </c>
      <c r="J33" s="6" t="inlineStr">
        <is>
          <t>-</t>
        </is>
      </c>
      <c r="K33" s="6" t="inlineStr">
        <is>
          <t>-</t>
        </is>
      </c>
      <c r="L33" s="6">
        <f>IF(F33="",IF(J33="-","Нет зав. №, нет АоРПИ","Нет зав. №"),IF(G33&lt;E33,"Зав. № не все ("&amp;G33&amp;" из "&amp;E33&amp;")",IF(J33="-","Зав. № есть, АоРПИ нет",IF(K33="Подписан","ОК: зав. № + АоРПИ подписан","Зав. № есть, АоРПИ не подписан"))))</f>
        <v/>
      </c>
      <c r="M33" s="6" t="n"/>
      <c r="N33" s="6" t="n"/>
      <c r="O33" s="6" t="inlineStr">
        <is>
          <t>CHENGDA-MU-IC-1556 (1)</t>
        </is>
      </c>
      <c r="P33" s="17" t="inlineStr">
        <is>
          <t>已到货</t>
        </is>
      </c>
      <c r="Q33" s="6" t="inlineStr">
        <is>
          <t>Нужно проверить, еще не обработана</t>
        </is>
      </c>
      <c r="R33" s="11" t="inlineStr">
        <is>
          <t>Позиция добавлена из сводной 17.08.2026; RFI 1556(1) добавлен из сводной</t>
        </is>
      </c>
    </row>
    <row r="34" ht="26.4" customHeight="1" s="19">
      <c r="A34" s="6" t="inlineStr">
        <is>
          <t>АРМ</t>
        </is>
      </c>
      <c r="B34" s="6" t="inlineStr">
        <is>
          <t>Сумка для ноутбука 17,3"</t>
        </is>
      </c>
      <c r="C34" s="6" t="inlineStr">
        <is>
          <t>Continent CC-018</t>
        </is>
      </c>
      <c r="D34" s="6" t="inlineStr">
        <is>
          <t>шт</t>
        </is>
      </c>
      <c r="E34" s="6" t="n">
        <v>3</v>
      </c>
      <c r="F34" s="6" t="n"/>
      <c r="G34" s="6" t="n">
        <v>0</v>
      </c>
      <c r="H34" s="6" t="n"/>
      <c r="I34" s="6" t="inlineStr">
        <is>
          <t>1556(1)</t>
        </is>
      </c>
      <c r="J34" s="6" t="inlineStr">
        <is>
          <t>-</t>
        </is>
      </c>
      <c r="K34" s="6" t="inlineStr">
        <is>
          <t>-</t>
        </is>
      </c>
      <c r="L34" s="6">
        <f>IF(F34="",IF(J34="-","Нет зав. №, нет АоРПИ","Нет зав. №"),IF(G34&lt;E34,"Зав. № не все ("&amp;G34&amp;" из "&amp;E34&amp;")",IF(J34="-","Зав. № есть, АоРПИ нет",IF(K34="Подписан","ОК: зав. № + АоРПИ подписан","Зав. № есть, АоРПИ не подписан"))))</f>
        <v/>
      </c>
      <c r="M34" s="6" t="n"/>
      <c r="N34" s="6" t="n"/>
      <c r="O34" s="6" t="inlineStr">
        <is>
          <t>CHENGDA-MU-IC-1556 (1)</t>
        </is>
      </c>
      <c r="P34" s="17" t="inlineStr">
        <is>
          <t>已到货</t>
        </is>
      </c>
      <c r="Q34" s="6" t="inlineStr">
        <is>
          <t>Нужно проверить, еще не обработана</t>
        </is>
      </c>
      <c r="R34" s="11" t="inlineStr">
        <is>
          <t>Позиция добавлена из сводной 17.08.2026; RFI 1556(1) добавлен из сводной</t>
        </is>
      </c>
    </row>
    <row r="35" ht="26.4" customHeight="1" s="19">
      <c r="A35" s="6" t="inlineStr">
        <is>
          <t>—</t>
        </is>
      </c>
      <c r="B35" s="6" t="inlineStr">
        <is>
          <t>Кронштейн для антенны ГЛОНАСС/GPS 500 мм</t>
        </is>
      </c>
      <c r="C35" s="6" t="inlineStr">
        <is>
          <t>GPS-КР-500</t>
        </is>
      </c>
      <c r="D35" s="6" t="inlineStr">
        <is>
          <t>шт</t>
        </is>
      </c>
      <c r="E35" s="6" t="n">
        <v>3</v>
      </c>
      <c r="F35" s="6" t="n"/>
      <c r="G35" s="6" t="n">
        <v>0</v>
      </c>
      <c r="H35" s="6" t="n"/>
      <c r="I35" s="6" t="inlineStr">
        <is>
          <t>1556(1)</t>
        </is>
      </c>
      <c r="J35" s="6" t="inlineStr">
        <is>
          <t>-</t>
        </is>
      </c>
      <c r="K35" s="6" t="inlineStr">
        <is>
          <t>-</t>
        </is>
      </c>
      <c r="L35" s="6">
        <f>IF(F35="",IF(J35="-","Нет зав. №, нет АоРПИ","Нет зав. №"),IF(G35&lt;E35,"Зав. № не все ("&amp;G35&amp;" из "&amp;E35&amp;")",IF(J35="-","Зав. № есть, АоРПИ нет",IF(K35="Подписан","ОК: зав. № + АоРПИ подписан","Зав. № есть, АоРПИ не подписан"))))</f>
        <v/>
      </c>
      <c r="M35" s="6" t="n"/>
      <c r="N35" s="6" t="n"/>
      <c r="O35" s="6" t="inlineStr">
        <is>
          <t>CHENGDA-MU-IC-1556 (1)</t>
        </is>
      </c>
      <c r="P35" s="17" t="inlineStr">
        <is>
          <t>已到货</t>
        </is>
      </c>
      <c r="Q35" s="6" t="inlineStr">
        <is>
          <t>Нужно проверить, еще не обработана</t>
        </is>
      </c>
      <c r="R35" s="11" t="inlineStr">
        <is>
          <t>Позиция добавлена из сводной 17.08.2026; RFI 1556(1) добавлен из сводной</t>
        </is>
      </c>
    </row>
    <row r="36" ht="26.4" customHeight="1" s="19">
      <c r="A36" s="6" t="inlineStr">
        <is>
          <t>—</t>
        </is>
      </c>
      <c r="B36" s="6" t="inlineStr">
        <is>
          <t>Датчик температуры Pt100, RS-485</t>
        </is>
      </c>
      <c r="C36" s="6" t="inlineStr">
        <is>
          <t>ДТС125М-PT100.1,0.60.RS</t>
        </is>
      </c>
      <c r="D36" s="6" t="inlineStr">
        <is>
          <t>шт</t>
        </is>
      </c>
      <c r="E36" s="6" t="n">
        <v>9</v>
      </c>
      <c r="F36" s="6" t="n"/>
      <c r="G36" s="6" t="n">
        <v>0</v>
      </c>
      <c r="H36" s="6" t="n"/>
      <c r="I36" s="6" t="inlineStr">
        <is>
          <t>1556(1)</t>
        </is>
      </c>
      <c r="J36" s="6" t="inlineStr">
        <is>
          <t>-</t>
        </is>
      </c>
      <c r="K36" s="6" t="inlineStr">
        <is>
          <t>-</t>
        </is>
      </c>
      <c r="L36" s="6">
        <f>IF(F36="",IF(J36="-","Нет зав. №, нет АоРПИ","Нет зав. №"),IF(G36&lt;E36,"Зав. № не все ("&amp;G36&amp;" из "&amp;E36&amp;")",IF(J36="-","Зав. № есть, АоРПИ нет",IF(K36="Подписан","ОК: зав. № + АоРПИ подписан","Зав. № есть, АоРПИ не подписан"))))</f>
        <v/>
      </c>
      <c r="M36" s="6" t="n"/>
      <c r="N36" s="6" t="n"/>
      <c r="O36" s="6" t="inlineStr">
        <is>
          <t>CHENGDA-MU-IC-1556 (1)</t>
        </is>
      </c>
      <c r="P36" s="17" t="inlineStr">
        <is>
          <t>已到货</t>
        </is>
      </c>
      <c r="Q36" s="6" t="inlineStr">
        <is>
          <t>Нужно проверить, еще не обработана</t>
        </is>
      </c>
      <c r="R36" s="11" t="inlineStr">
        <is>
          <t>Позиция добавлена из сводной 17.08.2026; RFI 1556(1) добавлен из сводной</t>
        </is>
      </c>
    </row>
    <row r="37" ht="26.4" customHeight="1" s="19">
      <c r="A37" s="6" t="inlineStr">
        <is>
          <t>—</t>
        </is>
      </c>
      <c r="B37" s="6" t="inlineStr">
        <is>
          <t>Многофункциональный измерительный преобразователь, 2x100Base FX</t>
        </is>
      </c>
      <c r="C37" s="6" t="inlineStr">
        <is>
          <t>ЭНИП-2</t>
        </is>
      </c>
      <c r="D37" s="6" t="inlineStr">
        <is>
          <t>шт</t>
        </is>
      </c>
      <c r="E37" s="6" t="n">
        <v>12</v>
      </c>
      <c r="F37" s="6" t="n"/>
      <c r="G37" s="6" t="n">
        <v>0</v>
      </c>
      <c r="H37" s="6" t="n"/>
      <c r="I37" s="6" t="inlineStr">
        <is>
          <t>1556(1)</t>
        </is>
      </c>
      <c r="J37" s="6" t="inlineStr">
        <is>
          <t>-</t>
        </is>
      </c>
      <c r="K37" s="6" t="inlineStr">
        <is>
          <t>-</t>
        </is>
      </c>
      <c r="L37" s="6">
        <f>IF(F37="",IF(J37="-","Нет зав. №, нет АоРПИ","Нет зав. №"),IF(G37&lt;E37,"Зав. № не все ("&amp;G37&amp;" из "&amp;E37&amp;")",IF(J37="-","Зав. № есть, АоРПИ нет",IF(K37="Подписан","ОК: зав. № + АоРПИ подписан","Зав. № есть, АоРПИ не подписан"))))</f>
        <v/>
      </c>
      <c r="M37" s="6" t="n"/>
      <c r="N37" s="6" t="n"/>
      <c r="O37" s="6" t="inlineStr">
        <is>
          <t>CHENGDA-MU-IC-1556 (1)</t>
        </is>
      </c>
      <c r="P37" s="17" t="inlineStr">
        <is>
          <t>已到货</t>
        </is>
      </c>
      <c r="Q37" s="6" t="inlineStr">
        <is>
          <t>Нужно проверить, еще не обработана</t>
        </is>
      </c>
      <c r="R37" s="11" t="inlineStr">
        <is>
          <t>Позиция добавлена из сводной 17.08.2026; RFI 1556(1) добавлен из сводной</t>
        </is>
      </c>
    </row>
    <row r="38" ht="26.4" customHeight="1" s="19">
      <c r="A38" s="6" t="inlineStr">
        <is>
          <t>—</t>
        </is>
      </c>
      <c r="B38" s="6" t="inlineStr">
        <is>
          <t>Модуль дискретного ввода-вывода</t>
        </is>
      </c>
      <c r="C38" s="6" t="n"/>
      <c r="D38" s="6" t="inlineStr">
        <is>
          <t>шт</t>
        </is>
      </c>
      <c r="E38" s="6" t="n">
        <v>12</v>
      </c>
      <c r="F38" s="6" t="n"/>
      <c r="G38" s="6" t="n">
        <v>0</v>
      </c>
      <c r="H38" s="6" t="n"/>
      <c r="I38" s="6" t="inlineStr">
        <is>
          <t>1556(1)</t>
        </is>
      </c>
      <c r="J38" s="6" t="inlineStr">
        <is>
          <t>-</t>
        </is>
      </c>
      <c r="K38" s="6" t="inlineStr">
        <is>
          <t>-</t>
        </is>
      </c>
      <c r="L38" s="6">
        <f>IF(F38="",IF(J38="-","Нет зав. №, нет АоРПИ","Нет зав. №"),IF(G38&lt;E38,"Зав. № не все ("&amp;G38&amp;" из "&amp;E38&amp;")",IF(J38="-","Зав. № есть, АоРПИ нет",IF(K38="Подписан","ОК: зав. № + АоРПИ подписан","Зав. № есть, АоРПИ не подписан"))))</f>
        <v/>
      </c>
      <c r="M38" s="6" t="n"/>
      <c r="N38" s="6" t="n"/>
      <c r="O38" s="6" t="inlineStr">
        <is>
          <t>CHENGDA-MU-IC-1556 (1)</t>
        </is>
      </c>
      <c r="P38" s="17" t="inlineStr">
        <is>
          <t>已到货</t>
        </is>
      </c>
      <c r="Q38" s="6" t="inlineStr">
        <is>
          <t>Нужно проверить, еще не обработана</t>
        </is>
      </c>
      <c r="R38" s="11" t="inlineStr">
        <is>
          <t>Позиция добавлена из сводной 17.08.2026; RFI 1556(1) добавлен из сводной</t>
        </is>
      </c>
    </row>
    <row r="39" ht="39.6" customHeight="1" s="19">
      <c r="A39" s="6" t="inlineStr">
        <is>
          <t>2.17</t>
        </is>
      </c>
      <c r="B39" s="6" t="inlineStr">
        <is>
          <t>Мачта антенная Ø50 мм</t>
        </is>
      </c>
      <c r="C39" s="6" t="inlineStr">
        <is>
          <t>МА50</t>
        </is>
      </c>
      <c r="D39" s="6" t="inlineStr">
        <is>
          <t>шт</t>
        </is>
      </c>
      <c r="E39" s="6" t="n">
        <v>1</v>
      </c>
      <c r="F39" s="6" t="n"/>
      <c r="G39" s="6" t="n">
        <v>0</v>
      </c>
      <c r="H39" s="6" t="n"/>
      <c r="I39" s="6" t="inlineStr">
        <is>
          <t>1700</t>
        </is>
      </c>
      <c r="J39" s="5" t="inlineStr">
        <is>
          <t>817-3120-АСУЭ-ВК-ЧНД</t>
        </is>
      </c>
      <c r="K39" s="6" t="inlineStr">
        <is>
          <t>Подписан</t>
        </is>
      </c>
      <c r="L39" s="6">
        <f>IF(F39="",IF(J39="-","Нет зав. №, нет АоРПИ","Нет зав. №"),IF(G39&lt;E39,"Зав. № не все ("&amp;G39&amp;" из "&amp;E39&amp;")",IF(J39="-","Зав. № есть, АоРПИ нет",IF(K39="Подписан","ОК: зав. № + АоРПИ подписан","Зав. № есть, АоРПИ не подписан"))))</f>
        <v/>
      </c>
      <c r="M39" s="6" t="n"/>
      <c r="N39" s="6" t="n"/>
      <c r="O39" s="6" t="inlineStr">
        <is>
          <t>CHENGDA-MU-IC-1700</t>
        </is>
      </c>
      <c r="P39" s="6" t="inlineStr">
        <is>
          <t>817-3120-АСУЭ-ВК-ЧНД</t>
        </is>
      </c>
      <c r="Q39" s="6" t="inlineStr">
        <is>
          <t>Документы есть, RFI не проведен.</t>
        </is>
      </c>
      <c r="R39" s="11" t="inlineStr">
        <is>
          <t>Позиция добавлена из сводной 17.08.2026; RFI 1700 добавлен из сводной; АоРПИ 817-3120-АСУЭ добавлен из сводной</t>
        </is>
      </c>
    </row>
    <row r="40" ht="39.6" customHeight="1" s="19">
      <c r="A40" s="6" t="inlineStr">
        <is>
          <t>2.18</t>
        </is>
      </c>
      <c r="B40" s="6" t="inlineStr">
        <is>
          <t>Кронштейн-тренога для настенного крепления мачты</t>
        </is>
      </c>
      <c r="C40" s="6" t="inlineStr">
        <is>
          <t>МА41</t>
        </is>
      </c>
      <c r="D40" s="6" t="inlineStr">
        <is>
          <t>шт</t>
        </is>
      </c>
      <c r="E40" s="6" t="n">
        <v>1</v>
      </c>
      <c r="F40" s="6" t="n"/>
      <c r="G40" s="6" t="n">
        <v>0</v>
      </c>
      <c r="H40" s="6" t="n"/>
      <c r="I40" s="6" t="inlineStr">
        <is>
          <t>1700</t>
        </is>
      </c>
      <c r="J40" s="5" t="inlineStr">
        <is>
          <t>817-3120-АСУЭ-ВК-ЧНД</t>
        </is>
      </c>
      <c r="K40" s="6" t="inlineStr">
        <is>
          <t>Подписан</t>
        </is>
      </c>
      <c r="L40" s="6">
        <f>IF(F40="",IF(J40="-","Нет зав. №, нет АоРПИ","Нет зав. №"),IF(G40&lt;E40,"Зав. № не все ("&amp;G40&amp;" из "&amp;E40&amp;")",IF(J40="-","Зав. № есть, АоРПИ нет",IF(K40="Подписан","ОК: зав. № + АоРПИ подписан","Зав. № есть, АоРПИ не подписан"))))</f>
        <v/>
      </c>
      <c r="M40" s="6" t="n"/>
      <c r="N40" s="6" t="n"/>
      <c r="O40" s="6" t="inlineStr">
        <is>
          <t>CHENGDA-MU-IC-1700</t>
        </is>
      </c>
      <c r="P40" s="6" t="inlineStr">
        <is>
          <t>817-3120-АСУЭ-ВК-ЧНД</t>
        </is>
      </c>
      <c r="Q40" s="6" t="inlineStr">
        <is>
          <t>Документов нет</t>
        </is>
      </c>
      <c r="R40" s="11" t="inlineStr">
        <is>
          <t>Позиция добавлена из сводной 17.08.2026; RFI 1700 добавлен из сводной; АоРПИ 817-3120-АСУЭ добавлен из сводной</t>
        </is>
      </c>
    </row>
    <row r="41">
      <c r="D41" s="7" t="inlineStr">
        <is>
          <t>Итого</t>
        </is>
      </c>
      <c r="E41" s="7">
        <f>SUM(E6:E40)</f>
        <v/>
      </c>
      <c r="G41" s="7">
        <f>SUM(G6:G40)</f>
        <v/>
      </c>
    </row>
  </sheetData>
  <autoFilter ref="A5:R40"/>
  <conditionalFormatting sqref="F6:F40">
    <cfRule type="expression" priority="5" dxfId="1">
      <formula>$F6=""</formula>
    </cfRule>
  </conditionalFormatting>
  <conditionalFormatting sqref="L6:L40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J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J8" r:id="rId6"/>
    <hyperlink xmlns:r="http://schemas.openxmlformats.org/officeDocument/2006/relationships" ref="I9" r:id="rId7"/>
    <hyperlink xmlns:r="http://schemas.openxmlformats.org/officeDocument/2006/relationships" ref="J9" r:id="rId8"/>
    <hyperlink xmlns:r="http://schemas.openxmlformats.org/officeDocument/2006/relationships" ref="I10" r:id="rId9"/>
    <hyperlink xmlns:r="http://schemas.openxmlformats.org/officeDocument/2006/relationships" ref="J10" r:id="rId10"/>
    <hyperlink xmlns:r="http://schemas.openxmlformats.org/officeDocument/2006/relationships" ref="I11" r:id="rId11"/>
    <hyperlink xmlns:r="http://schemas.openxmlformats.org/officeDocument/2006/relationships" ref="J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J13" r:id="rId16"/>
    <hyperlink xmlns:r="http://schemas.openxmlformats.org/officeDocument/2006/relationships" ref="I14" r:id="rId17"/>
    <hyperlink xmlns:r="http://schemas.openxmlformats.org/officeDocument/2006/relationships" ref="J14" r:id="rId18"/>
    <hyperlink xmlns:r="http://schemas.openxmlformats.org/officeDocument/2006/relationships" ref="I15" r:id="rId19"/>
    <hyperlink xmlns:r="http://schemas.openxmlformats.org/officeDocument/2006/relationships" ref="J15" r:id="rId20"/>
    <hyperlink xmlns:r="http://schemas.openxmlformats.org/officeDocument/2006/relationships" ref="I16" r:id="rId21"/>
    <hyperlink xmlns:r="http://schemas.openxmlformats.org/officeDocument/2006/relationships" ref="J16" r:id="rId22"/>
    <hyperlink xmlns:r="http://schemas.openxmlformats.org/officeDocument/2006/relationships" ref="I17" r:id="rId23"/>
    <hyperlink xmlns:r="http://schemas.openxmlformats.org/officeDocument/2006/relationships" ref="J17" r:id="rId24"/>
    <hyperlink xmlns:r="http://schemas.openxmlformats.org/officeDocument/2006/relationships" ref="I18" r:id="rId25"/>
    <hyperlink xmlns:r="http://schemas.openxmlformats.org/officeDocument/2006/relationships" ref="J18" r:id="rId26"/>
    <hyperlink xmlns:r="http://schemas.openxmlformats.org/officeDocument/2006/relationships" ref="I19" r:id="rId27"/>
    <hyperlink xmlns:r="http://schemas.openxmlformats.org/officeDocument/2006/relationships" ref="J19" r:id="rId28"/>
    <hyperlink xmlns:r="http://schemas.openxmlformats.org/officeDocument/2006/relationships" ref="I20" r:id="rId29"/>
    <hyperlink xmlns:r="http://schemas.openxmlformats.org/officeDocument/2006/relationships" ref="J20" r:id="rId30"/>
    <hyperlink xmlns:r="http://schemas.openxmlformats.org/officeDocument/2006/relationships" ref="I21" r:id="rId31"/>
    <hyperlink xmlns:r="http://schemas.openxmlformats.org/officeDocument/2006/relationships" ref="J21" r:id="rId32"/>
    <hyperlink xmlns:r="http://schemas.openxmlformats.org/officeDocument/2006/relationships" ref="I22" r:id="rId33"/>
    <hyperlink xmlns:r="http://schemas.openxmlformats.org/officeDocument/2006/relationships" ref="J22" r:id="rId34"/>
    <hyperlink xmlns:r="http://schemas.openxmlformats.org/officeDocument/2006/relationships" ref="I28" r:id="rId35"/>
    <hyperlink xmlns:r="http://schemas.openxmlformats.org/officeDocument/2006/relationships" ref="J39" r:id="rId36"/>
    <hyperlink xmlns:r="http://schemas.openxmlformats.org/officeDocument/2006/relationships" ref="J40" r:id="rId37"/>
  </hyperlink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АИИСКУЭ — оборудование (раздел «Оборудование» спецификации), заводские номера и АоРПИ</t>
        </is>
      </c>
    </row>
    <row r="2">
      <c r="A2" s="14" t="inlineStr">
        <is>
          <t>СО: 03-50-1200-44-АИИСКУЭ.В4-001, ревизия 4B (pdf, 13.08.2026) — сверено: шкафы те же (EPFASC, MC); изменены марки счётчиков и ноутбука АРМ инженера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4"/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3121EPFASC</t>
        </is>
      </c>
      <c r="B6" s="6" t="inlineStr">
        <is>
          <t>Шкаф системы АИИСКУЭ 2200х800х800 с сервером DEPO Storm</t>
        </is>
      </c>
      <c r="C6" s="6" t="inlineStr">
        <is>
          <t>БРСН.656453.998-25-033 (Бреслер-0117.948.01)</t>
        </is>
      </c>
      <c r="D6" s="6" t="inlineStr">
        <is>
          <t>компл.</t>
        </is>
      </c>
      <c r="E6" s="6" t="n">
        <v>1</v>
      </c>
      <c r="F6" s="6" t="inlineStr">
        <is>
          <t>10589/44</t>
        </is>
      </c>
      <c r="G6" s="6" t="n">
        <v>1</v>
      </c>
      <c r="H6" s="6" t="inlineStr">
        <is>
          <t>RFI 1556</t>
        </is>
      </c>
      <c r="I6" s="5" t="inlineStr">
        <is>
          <t>1556</t>
        </is>
      </c>
      <c r="J6" s="5" t="inlineStr">
        <is>
          <t>781-3120-АИИСКУЭ-ВК-ЧНД</t>
        </is>
      </c>
      <c r="K6" s="6" t="inlineStr">
        <is>
          <t>Не 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В АоРПИ 781 зав. № не указан — дописать 10589/44</t>
        </is>
      </c>
      <c r="N6" s="6" t="n"/>
      <c r="O6" s="6" t="inlineStr">
        <is>
          <t>CHENGDA-MU-IC-1556</t>
        </is>
      </c>
      <c r="P6" s="6" t="inlineStr">
        <is>
          <t>781-3120-АИИСКУЭ-ВК-ЧНД</t>
        </is>
      </c>
      <c r="Q6" s="6" t="n"/>
      <c r="R6" s="15" t="inlineStr">
        <is>
          <t>Совпадает</t>
        </is>
      </c>
    </row>
    <row r="7" ht="26.4" customHeight="1" s="19">
      <c r="A7" s="6" t="inlineStr">
        <is>
          <t>3121MC</t>
        </is>
      </c>
      <c r="B7" s="6" t="inlineStr">
        <is>
          <t>Шкаф счётчиков 220 кВ 2200х800х600</t>
        </is>
      </c>
      <c r="C7" s="6" t="inlineStr">
        <is>
          <t>БРСН.656453.998-25-032 (Бреслер-0117.985.03)</t>
        </is>
      </c>
      <c r="D7" s="6" t="inlineStr">
        <is>
          <t>компл.</t>
        </is>
      </c>
      <c r="E7" s="6" t="n">
        <v>1</v>
      </c>
      <c r="F7" s="6" t="inlineStr">
        <is>
          <t>10589/43</t>
        </is>
      </c>
      <c r="G7" s="6" t="n">
        <v>1</v>
      </c>
      <c r="H7" s="6" t="inlineStr">
        <is>
          <t>RFI 1556</t>
        </is>
      </c>
      <c r="I7" s="5" t="inlineStr">
        <is>
          <t>1556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inlineStr">
        <is>
          <t>АоРПИ нет</t>
        </is>
      </c>
      <c r="N7" s="6" t="n"/>
      <c r="O7" s="6" t="inlineStr">
        <is>
          <t>CHENGDA-MU-IC-1556</t>
        </is>
      </c>
      <c r="P7" s="6" t="inlineStr">
        <is>
          <t>781-3120-АИИСКУЭ-ВК-ЧНД</t>
        </is>
      </c>
      <c r="Q7" s="6" t="n"/>
      <c r="R7" s="11" t="inlineStr">
        <is>
          <t>в сводной указан АоРПИ 781, но в нём только шкаф АИИСКУЭ — шкафа счётчиков в акте нет</t>
        </is>
      </c>
    </row>
    <row r="8" ht="39.6" customHeight="1" s="19">
      <c r="A8" s="6" t="inlineStr">
        <is>
          <t>PIK4–PIK7</t>
        </is>
      </c>
      <c r="B8" s="6" t="inlineStr">
        <is>
          <t>Счётчик электроэнергии 0,5S/1, 1/10 А, 2xRS485</t>
        </is>
      </c>
      <c r="C8" s="6" t="inlineStr">
        <is>
          <t>СТЭМ-300.263SU (СИ-АРТ)</t>
        </is>
      </c>
      <c r="D8" s="6" t="inlineStr">
        <is>
          <t>шт</t>
        </is>
      </c>
      <c r="E8" s="6" t="n">
        <v>4</v>
      </c>
      <c r="F8" s="6" t="n"/>
      <c r="G8" s="6" t="n">
        <v>0</v>
      </c>
      <c r="H8" s="6" t="n"/>
      <c r="I8" s="6" t="inlineStr">
        <is>
          <t>1556(1)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Зав. № счётчиков не найдены. В СО 4А (.doc, 10.2025) было СТЭМ-300.255SU — по 4B марка изменена</t>
        </is>
      </c>
      <c r="N8" s="6" t="n"/>
      <c r="O8" s="6" t="inlineStr">
        <is>
          <t>CHENGDA-MU-IC-1556 (1)</t>
        </is>
      </c>
      <c r="P8" s="6" t="n"/>
      <c r="Q8" s="6" t="inlineStr">
        <is>
          <t>Нужно проверить, еще не обработана</t>
        </is>
      </c>
      <c r="R8" s="11" t="inlineStr">
        <is>
          <t>RFI 1556(1) добавлен из сводной</t>
        </is>
      </c>
    </row>
    <row r="9" ht="26.4" customHeight="1" s="19">
      <c r="A9" s="6" t="inlineStr">
        <is>
          <t>PIK8, PIK9</t>
        </is>
      </c>
      <c r="B9" s="6" t="inlineStr">
        <is>
          <t>Счётчик электроэнергии 0,5S/1, 5/10 А, 2xRS485</t>
        </is>
      </c>
      <c r="C9" s="6" t="inlineStr">
        <is>
          <t>СТЭМ-300.153SU (СИ-АРТ)</t>
        </is>
      </c>
      <c r="D9" s="6" t="inlineStr">
        <is>
          <t>шт</t>
        </is>
      </c>
      <c r="E9" s="6" t="n">
        <v>2</v>
      </c>
      <c r="F9" s="6" t="n"/>
      <c r="G9" s="6" t="n">
        <v>0</v>
      </c>
      <c r="H9" s="6" t="n"/>
      <c r="I9" s="6" t="inlineStr">
        <is>
          <t>1556(1)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inlineStr">
        <is>
          <t>В СО 4А было СТЭМ-300.155SU — по 4B марка изменена</t>
        </is>
      </c>
      <c r="N9" s="6" t="n"/>
      <c r="O9" s="6" t="inlineStr">
        <is>
          <t>CHENGDA-MU-IC-1556 (1)</t>
        </is>
      </c>
      <c r="P9" s="6" t="n"/>
      <c r="Q9" s="6" t="inlineStr">
        <is>
          <t>Нужно проверить, еще не обработана</t>
        </is>
      </c>
      <c r="R9" s="11" t="inlineStr">
        <is>
          <t>RFI 1556(1) добавлен из сводной</t>
        </is>
      </c>
    </row>
    <row r="10" ht="26.4" customHeight="1" s="19">
      <c r="A10" s="6" t="inlineStr">
        <is>
          <t>АРМ оператора</t>
        </is>
      </c>
      <c r="B10" s="6" t="inlineStr">
        <is>
          <t>Компьютер iRU Home 310H6SE</t>
        </is>
      </c>
      <c r="C10" s="6" t="inlineStr">
        <is>
          <t>iRU</t>
        </is>
      </c>
      <c r="D10" s="6" t="inlineStr">
        <is>
          <t>шт</t>
        </is>
      </c>
      <c r="E10" s="6" t="n">
        <v>1</v>
      </c>
      <c r="F10" s="6" t="n"/>
      <c r="G10" s="6" t="n">
        <v>0</v>
      </c>
      <c r="H10" s="6" t="n"/>
      <c r="I10" s="6" t="inlineStr">
        <is>
          <t>1556(1)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  <c r="O10" s="6" t="inlineStr">
        <is>
          <t>CHENGDA-MU-IC-1556 (1)</t>
        </is>
      </c>
      <c r="P10" s="6" t="n"/>
      <c r="Q10" s="6" t="inlineStr">
        <is>
          <t>Нужно проверить, еще не обработана</t>
        </is>
      </c>
      <c r="R10" s="11" t="inlineStr">
        <is>
          <t>RFI 1556(1) добавлен из сводной</t>
        </is>
      </c>
    </row>
    <row r="11" ht="26.4" customHeight="1" s="19">
      <c r="A11" s="6" t="inlineStr">
        <is>
          <t>АРМ оператора</t>
        </is>
      </c>
      <c r="B11" s="6" t="inlineStr">
        <is>
          <t>Монитор 23,8" ASUS VA24DQFR</t>
        </is>
      </c>
      <c r="C11" s="6" t="inlineStr">
        <is>
          <t>ASUS</t>
        </is>
      </c>
      <c r="D11" s="6" t="inlineStr">
        <is>
          <t>шт</t>
        </is>
      </c>
      <c r="E11" s="6" t="n">
        <v>2</v>
      </c>
      <c r="F11" s="6" t="n"/>
      <c r="G11" s="6" t="n">
        <v>0</v>
      </c>
      <c r="H11" s="6" t="n"/>
      <c r="I11" s="6" t="inlineStr">
        <is>
          <t>1556(1)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  <c r="O11" s="6" t="inlineStr">
        <is>
          <t>CHENGDA-MU-IC-1556 (1)</t>
        </is>
      </c>
      <c r="P11" s="6" t="n"/>
      <c r="Q11" s="6" t="inlineStr">
        <is>
          <t>Нужно проверить, еще не обработана</t>
        </is>
      </c>
      <c r="R11" s="11" t="inlineStr">
        <is>
          <t>RFI 1556(1) добавлен из сводной</t>
        </is>
      </c>
    </row>
    <row r="12" ht="26.4" customHeight="1" s="19">
      <c r="A12" s="6" t="inlineStr">
        <is>
          <t>АРМ оператора</t>
        </is>
      </c>
      <c r="B12" s="6" t="inlineStr">
        <is>
          <t>ИБП Ippon Smart Power Pro II 1200</t>
        </is>
      </c>
      <c r="C12" s="6" t="inlineStr">
        <is>
          <t>IPPON</t>
        </is>
      </c>
      <c r="D12" s="6" t="inlineStr">
        <is>
          <t>шт</t>
        </is>
      </c>
      <c r="E12" s="6" t="n">
        <v>1</v>
      </c>
      <c r="F12" s="6" t="n"/>
      <c r="G12" s="6" t="n">
        <v>0</v>
      </c>
      <c r="H12" s="6" t="n"/>
      <c r="I12" s="6" t="inlineStr">
        <is>
          <t>1556(1)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  <c r="O12" s="6" t="inlineStr">
        <is>
          <t>CHENGDA-MU-IC-1556 (1)</t>
        </is>
      </c>
      <c r="P12" s="6" t="n"/>
      <c r="Q12" s="6" t="inlineStr">
        <is>
          <t>Нужно проверить, еще не обработана</t>
        </is>
      </c>
      <c r="R12" s="11" t="inlineStr">
        <is>
          <t>RFI 1556(1) добавлен из сводной</t>
        </is>
      </c>
    </row>
    <row r="13" ht="26.4" customHeight="1" s="19">
      <c r="A13" s="6" t="inlineStr">
        <is>
          <t>АРМ инженера</t>
        </is>
      </c>
      <c r="B13" s="6" t="inlineStr">
        <is>
          <t>Ноутбук Acer Aspire 5 A515-57-506D</t>
        </is>
      </c>
      <c r="C13" s="6" t="inlineStr">
        <is>
          <t>A515-57-506D</t>
        </is>
      </c>
      <c r="D13" s="6" t="inlineStr">
        <is>
          <t>шт</t>
        </is>
      </c>
      <c r="E13" s="6" t="n">
        <v>1</v>
      </c>
      <c r="F13" s="6" t="n"/>
      <c r="G13" s="6" t="n">
        <v>0</v>
      </c>
      <c r="H13" s="6" t="n"/>
      <c r="I13" s="6" t="inlineStr">
        <is>
          <t>1556(1)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inlineStr">
        <is>
          <t>В СО 4А было Acer Aspire 3 A317-55P — по 4B заменён</t>
        </is>
      </c>
      <c r="N13" s="6" t="n"/>
      <c r="O13" s="6" t="inlineStr">
        <is>
          <t>CHENGDA-MU-IC-1556 (1)</t>
        </is>
      </c>
      <c r="P13" s="6" t="n"/>
      <c r="Q13" s="6" t="inlineStr">
        <is>
          <t>Нужно проверить, еще не обработана</t>
        </is>
      </c>
      <c r="R13" s="11" t="inlineStr">
        <is>
          <t>RFI 1556(1) добавлен из сводной</t>
        </is>
      </c>
    </row>
    <row r="14" ht="26.4" customHeight="1" s="19">
      <c r="A14" s="6" t="inlineStr">
        <is>
          <t>SG</t>
        </is>
      </c>
      <c r="B14" s="6" t="inlineStr">
        <is>
          <t>Коробка испытательная переходная</t>
        </is>
      </c>
      <c r="C14" s="6" t="inlineStr">
        <is>
          <t>КИП-С-IP20 (КЭАЗ)</t>
        </is>
      </c>
      <c r="D14" s="6" t="inlineStr">
        <is>
          <t>шт</t>
        </is>
      </c>
      <c r="E14" s="6" t="n">
        <v>6</v>
      </c>
      <c r="F14" s="6" t="n"/>
      <c r="G14" s="6" t="n">
        <v>0</v>
      </c>
      <c r="H14" s="6" t="n"/>
      <c r="I14" s="6" t="inlineStr">
        <is>
          <t>1556(1)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CHENGDA-MU-IC-1556 (1)</t>
        </is>
      </c>
      <c r="P14" s="6" t="n"/>
      <c r="Q14" s="6" t="inlineStr">
        <is>
          <t>Документы есть, но RFI еще не проведен</t>
        </is>
      </c>
      <c r="R14" s="11" t="inlineStr">
        <is>
          <t>Позиция добавлена из сводной 17.08.2026; RFI 1556(1) добавлен из сводной</t>
        </is>
      </c>
    </row>
    <row r="15" ht="26.4" customHeight="1" s="19">
      <c r="A15" s="6" t="inlineStr">
        <is>
          <t>—</t>
        </is>
      </c>
      <c r="B15" s="6" t="inlineStr">
        <is>
          <t>Разветвитель интерфейса RS-485/422</t>
        </is>
      </c>
      <c r="C15" s="6" t="inlineStr">
        <is>
          <t>ПР-3 IP65</t>
        </is>
      </c>
      <c r="D15" s="6" t="inlineStr">
        <is>
          <t>шт</t>
        </is>
      </c>
      <c r="E15" s="6" t="n">
        <v>6</v>
      </c>
      <c r="F15" s="6" t="n"/>
      <c r="G15" s="6" t="n">
        <v>0</v>
      </c>
      <c r="H15" s="6" t="n"/>
      <c r="I15" s="6" t="inlineStr">
        <is>
          <t>1556(1)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  <c r="O15" s="6" t="inlineStr">
        <is>
          <t>CHENGDA-MU-IC-1556 (1)</t>
        </is>
      </c>
      <c r="P15" s="6" t="n"/>
      <c r="Q15" s="6" t="inlineStr">
        <is>
          <t>Нужно проверить, еще не обработана</t>
        </is>
      </c>
      <c r="R15" s="11" t="inlineStr">
        <is>
          <t>Позиция добавлена из сводной 17.08.2026; RFI 1556(1) добавлен из сводной</t>
        </is>
      </c>
    </row>
    <row r="16" ht="26.4" customHeight="1" s="19">
      <c r="A16" s="6" t="inlineStr">
        <is>
          <t>—</t>
        </is>
      </c>
      <c r="B16" s="6" t="inlineStr">
        <is>
          <t>Догрузочный резистор 3х5 ВА</t>
        </is>
      </c>
      <c r="C16" s="6" t="inlineStr">
        <is>
          <t>МР 3021-Н-100/V3В-3х5 ВА</t>
        </is>
      </c>
      <c r="D16" s="6" t="inlineStr">
        <is>
          <t>шт</t>
        </is>
      </c>
      <c r="E16" s="6" t="n">
        <v>6</v>
      </c>
      <c r="F16" s="6" t="n"/>
      <c r="G16" s="6" t="n">
        <v>0</v>
      </c>
      <c r="H16" s="6" t="n"/>
      <c r="I16" s="6" t="inlineStr">
        <is>
          <t>1556(1)</t>
        </is>
      </c>
      <c r="J16" s="6" t="inlineStr">
        <is>
          <t>-</t>
        </is>
      </c>
      <c r="K16" s="6" t="inlineStr">
        <is>
          <t>-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  <c r="O16" s="6" t="inlineStr">
        <is>
          <t>CHENGDA-MU-IC-1556 (1)</t>
        </is>
      </c>
      <c r="P16" s="6" t="n"/>
      <c r="Q16" s="6" t="inlineStr">
        <is>
          <t>Нужно проверить, еще не обработана</t>
        </is>
      </c>
      <c r="R16" s="11" t="inlineStr">
        <is>
          <t>Позиция добавлена из сводной 17.08.2026; RFI 1556(1) добавлен из сводной</t>
        </is>
      </c>
    </row>
    <row r="17" ht="26.4" customHeight="1" s="19">
      <c r="A17" s="6" t="inlineStr">
        <is>
          <t>—</t>
        </is>
      </c>
      <c r="B17" s="6" t="inlineStr">
        <is>
          <t>Догрузочный резистор 3х10 ВА</t>
        </is>
      </c>
      <c r="C17" s="6" t="inlineStr">
        <is>
          <t>МР 3021-Н-100/V3В-3х10 ВА</t>
        </is>
      </c>
      <c r="D17" s="6" t="inlineStr">
        <is>
          <t>шт</t>
        </is>
      </c>
      <c r="E17" s="6" t="n">
        <v>4</v>
      </c>
      <c r="F17" s="6" t="n"/>
      <c r="G17" s="6" t="n">
        <v>0</v>
      </c>
      <c r="H17" s="6" t="n"/>
      <c r="I17" s="6" t="inlineStr">
        <is>
          <t>1556(1)</t>
        </is>
      </c>
      <c r="J17" s="6" t="inlineStr">
        <is>
          <t>-</t>
        </is>
      </c>
      <c r="K17" s="6" t="inlineStr">
        <is>
          <t>-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  <c r="O17" s="6" t="inlineStr">
        <is>
          <t>CHENGDA-MU-IC-1556 (1)</t>
        </is>
      </c>
      <c r="P17" s="6" t="n"/>
      <c r="Q17" s="6" t="inlineStr">
        <is>
          <t>Нужно проверить, еще не обработана</t>
        </is>
      </c>
      <c r="R17" s="11" t="inlineStr">
        <is>
          <t>Позиция добавлена из сводной 17.08.2026; RFI 1556(1) добавлен из сводной</t>
        </is>
      </c>
    </row>
    <row r="18" ht="26.4" customHeight="1" s="19">
      <c r="A18" s="6" t="inlineStr">
        <is>
          <t>—</t>
        </is>
      </c>
      <c r="B18" s="6" t="inlineStr">
        <is>
          <t>Догрузочный резистор 4 ВА</t>
        </is>
      </c>
      <c r="C18" s="6" t="inlineStr">
        <is>
          <t>МР 3021-Т-1А-4ВА</t>
        </is>
      </c>
      <c r="D18" s="6" t="inlineStr">
        <is>
          <t>шт</t>
        </is>
      </c>
      <c r="E18" s="6" t="n">
        <v>21</v>
      </c>
      <c r="F18" s="6" t="n"/>
      <c r="G18" s="6" t="n">
        <v>0</v>
      </c>
      <c r="H18" s="6" t="n"/>
      <c r="I18" s="6" t="inlineStr">
        <is>
          <t>1556(1)</t>
        </is>
      </c>
      <c r="J18" s="6" t="inlineStr">
        <is>
          <t>-</t>
        </is>
      </c>
      <c r="K18" s="6" t="inlineStr">
        <is>
          <t>-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6" t="n"/>
      <c r="O18" s="6" t="inlineStr">
        <is>
          <t>CHENGDA-MU-IC-1556 (1)</t>
        </is>
      </c>
      <c r="P18" s="6" t="n"/>
      <c r="Q18" s="6" t="inlineStr">
        <is>
          <t>Нужно проверить, еще не обработана</t>
        </is>
      </c>
      <c r="R18" s="11" t="inlineStr">
        <is>
          <t>Позиция добавлена из сводной 17.08.2026; RFI 1556(1) добавлен из сводной</t>
        </is>
      </c>
    </row>
    <row r="19" ht="26.4" customHeight="1" s="19">
      <c r="A19" s="6" t="inlineStr">
        <is>
          <t>АРМ оператора</t>
        </is>
      </c>
      <c r="B19" s="6" t="inlineStr">
        <is>
          <t>ОС Astra Linux SE (Орёл)</t>
        </is>
      </c>
      <c r="C19" s="6" t="inlineStr">
        <is>
          <t>РусБИТех-Астра</t>
        </is>
      </c>
      <c r="D19" s="6" t="inlineStr">
        <is>
          <t>шт</t>
        </is>
      </c>
      <c r="E19" s="6" t="n">
        <v>1</v>
      </c>
      <c r="F19" s="6" t="n"/>
      <c r="G19" s="6" t="n">
        <v>0</v>
      </c>
      <c r="H19" s="6" t="n"/>
      <c r="I19" s="6" t="inlineStr">
        <is>
          <t>1556(1)</t>
        </is>
      </c>
      <c r="J19" s="6" t="inlineStr">
        <is>
          <t>-</t>
        </is>
      </c>
      <c r="K19" s="6" t="inlineStr">
        <is>
          <t>-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6" t="n"/>
      <c r="O19" s="6" t="inlineStr">
        <is>
          <t>CHENGDA-MU-IC-1556 (1)</t>
        </is>
      </c>
      <c r="P19" s="6" t="n"/>
      <c r="Q19" s="6" t="inlineStr">
        <is>
          <t>Нужно проверить, еще не обработана</t>
        </is>
      </c>
      <c r="R19" s="11" t="inlineStr">
        <is>
          <t>Позиция добавлена из сводной 17.08.2026; RFI 1556(1) добавлен из сводной</t>
        </is>
      </c>
    </row>
    <row r="20" ht="26.4" customHeight="1" s="19">
      <c r="A20" s="6" t="inlineStr">
        <is>
          <t>АРМ оператора</t>
        </is>
      </c>
      <c r="B20" s="6" t="inlineStr">
        <is>
          <t>Комплект клавиатура + мышь</t>
        </is>
      </c>
      <c r="C20" s="6" t="inlineStr">
        <is>
          <t>A4TECH KK-3330S</t>
        </is>
      </c>
      <c r="D20" s="6" t="inlineStr">
        <is>
          <t>шт</t>
        </is>
      </c>
      <c r="E20" s="6" t="n">
        <v>1</v>
      </c>
      <c r="F20" s="6" t="n"/>
      <c r="G20" s="6" t="n">
        <v>0</v>
      </c>
      <c r="H20" s="6" t="n"/>
      <c r="I20" s="6" t="inlineStr">
        <is>
          <t>1556(1)</t>
        </is>
      </c>
      <c r="J20" s="6" t="inlineStr">
        <is>
          <t>-</t>
        </is>
      </c>
      <c r="K20" s="6" t="inlineStr">
        <is>
          <t>-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  <c r="O20" s="6" t="inlineStr">
        <is>
          <t>CHENGDA-MU-IC-1556 (1)</t>
        </is>
      </c>
      <c r="P20" s="6" t="n"/>
      <c r="Q20" s="6" t="inlineStr">
        <is>
          <t>Нужно проверить, еще не обработана</t>
        </is>
      </c>
      <c r="R20" s="11" t="inlineStr">
        <is>
          <t>Позиция добавлена из сводной 17.08.2026; RFI 1556(1) добавлен из сводной</t>
        </is>
      </c>
    </row>
    <row r="21" ht="26.4" customHeight="1" s="19">
      <c r="A21" s="6" t="inlineStr">
        <is>
          <t>АРМ оператора</t>
        </is>
      </c>
      <c r="B21" s="6" t="inlineStr">
        <is>
          <t>Колонки</t>
        </is>
      </c>
      <c r="C21" s="6" t="inlineStr">
        <is>
          <t>Sven 230</t>
        </is>
      </c>
      <c r="D21" s="6" t="inlineStr">
        <is>
          <t>шт</t>
        </is>
      </c>
      <c r="E21" s="6" t="n">
        <v>1</v>
      </c>
      <c r="F21" s="6" t="n"/>
      <c r="G21" s="6" t="n">
        <v>0</v>
      </c>
      <c r="H21" s="6" t="n"/>
      <c r="I21" s="6" t="inlineStr">
        <is>
          <t>1556(1)</t>
        </is>
      </c>
      <c r="J21" s="6" t="inlineStr">
        <is>
          <t>-</t>
        </is>
      </c>
      <c r="K21" s="6" t="inlineStr">
        <is>
          <t>-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  <c r="O21" s="6" t="inlineStr">
        <is>
          <t>CHENGDA-MU-IC-1556 (1)</t>
        </is>
      </c>
      <c r="P21" s="6" t="n"/>
      <c r="Q21" s="6" t="inlineStr">
        <is>
          <t>Нужно проверить, еще не обработана</t>
        </is>
      </c>
      <c r="R21" s="11" t="inlineStr">
        <is>
          <t>Позиция добавлена из сводной 17.08.2026; RFI 1556(1) добавлен из сводной</t>
        </is>
      </c>
    </row>
    <row r="22" ht="26.4" customHeight="1" s="19">
      <c r="A22" s="6" t="inlineStr">
        <is>
          <t>АРМ инженера</t>
        </is>
      </c>
      <c r="B22" s="6" t="inlineStr">
        <is>
          <t>Кабель DB9–USB</t>
        </is>
      </c>
      <c r="C22" s="6" t="inlineStr">
        <is>
          <t>UGREEN CR104</t>
        </is>
      </c>
      <c r="D22" s="6" t="inlineStr">
        <is>
          <t>шт</t>
        </is>
      </c>
      <c r="E22" s="6" t="n">
        <v>1</v>
      </c>
      <c r="F22" s="6" t="n"/>
      <c r="G22" s="6" t="n">
        <v>0</v>
      </c>
      <c r="H22" s="6" t="n"/>
      <c r="I22" s="6" t="inlineStr">
        <is>
          <t>1556(1)</t>
        </is>
      </c>
      <c r="J22" s="6" t="inlineStr">
        <is>
          <t>-</t>
        </is>
      </c>
      <c r="K22" s="6" t="inlineStr">
        <is>
          <t>-</t>
        </is>
      </c>
      <c r="L22" s="6">
        <f>IF(F22="",IF(J22="-","Нет зав. №, нет АоРПИ","Нет зав. №"),IF(G22&lt;E22,"Зав. № не все ("&amp;G22&amp;" из "&amp;E22&amp;")",IF(J22="-","Зав. № есть, АоРПИ нет",IF(K22="Подписан","ОК: зав. № + АоРПИ подписан","Зав. № есть, АоРПИ не подписан"))))</f>
        <v/>
      </c>
      <c r="M22" s="6" t="n"/>
      <c r="N22" s="6" t="n"/>
      <c r="O22" s="6" t="inlineStr">
        <is>
          <t>CHENGDA-MU-IC-1556 (1)</t>
        </is>
      </c>
      <c r="P22" s="6" t="n"/>
      <c r="Q22" s="6" t="inlineStr">
        <is>
          <t>Нужно проверить, еще не обработана</t>
        </is>
      </c>
      <c r="R22" s="11" t="inlineStr">
        <is>
          <t>Позиция добавлена из сводной 17.08.2026; RFI 1556(1) добавлен из сводной</t>
        </is>
      </c>
    </row>
    <row r="23" ht="26.4" customHeight="1" s="19">
      <c r="A23" s="6" t="inlineStr">
        <is>
          <t>АРМ инженера</t>
        </is>
      </c>
      <c r="B23" s="6" t="inlineStr">
        <is>
          <t>Мышь беспроводная</t>
        </is>
      </c>
      <c r="C23" s="6" t="inlineStr">
        <is>
          <t>A4TECH Fstyler FG10S</t>
        </is>
      </c>
      <c r="D23" s="6" t="inlineStr">
        <is>
          <t>шт</t>
        </is>
      </c>
      <c r="E23" s="6" t="n">
        <v>1</v>
      </c>
      <c r="F23" s="6" t="n"/>
      <c r="G23" s="6" t="n">
        <v>0</v>
      </c>
      <c r="H23" s="6" t="n"/>
      <c r="I23" s="6" t="inlineStr">
        <is>
          <t>1556(1)</t>
        </is>
      </c>
      <c r="J23" s="6" t="inlineStr">
        <is>
          <t>-</t>
        </is>
      </c>
      <c r="K23" s="6" t="inlineStr">
        <is>
          <t>-</t>
        </is>
      </c>
      <c r="L23" s="6">
        <f>IF(F23="",IF(J23="-","Нет зав. №, нет АоРПИ","Нет зав. №"),IF(G23&lt;E23,"Зав. № не все ("&amp;G23&amp;" из "&amp;E23&amp;")",IF(J23="-","Зав. № есть, АоРПИ нет",IF(K23="Подписан","ОК: зав. № + АоРПИ подписан","Зав. № есть, АоРПИ не подписан"))))</f>
        <v/>
      </c>
      <c r="M23" s="6" t="n"/>
      <c r="N23" s="6" t="n"/>
      <c r="O23" s="6" t="inlineStr">
        <is>
          <t>CHENGDA-MU-IC-1556 (1)</t>
        </is>
      </c>
      <c r="P23" s="6" t="n"/>
      <c r="Q23" s="6" t="inlineStr">
        <is>
          <t>Нужно проверить, еще не обработана</t>
        </is>
      </c>
      <c r="R23" s="11" t="inlineStr">
        <is>
          <t>Позиция добавлена из сводной 17.08.2026; RFI 1556(1) добавлен из сводной</t>
        </is>
      </c>
    </row>
    <row r="24" ht="26.4" customHeight="1" s="19">
      <c r="A24" s="6" t="inlineStr">
        <is>
          <t>АРМ инженера</t>
        </is>
      </c>
      <c r="B24" s="6" t="inlineStr">
        <is>
          <t>Сумка для ноутбука 17,3"</t>
        </is>
      </c>
      <c r="C24" s="6" t="inlineStr">
        <is>
          <t>Continent CC-018</t>
        </is>
      </c>
      <c r="D24" s="6" t="inlineStr">
        <is>
          <t>шт</t>
        </is>
      </c>
      <c r="E24" s="6" t="n">
        <v>1</v>
      </c>
      <c r="F24" s="6" t="n"/>
      <c r="G24" s="6" t="n">
        <v>0</v>
      </c>
      <c r="H24" s="6" t="n"/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>
        <f>IF(F24="",IF(J24="-","Нет зав. №, нет АоРПИ","Нет зав. №"),IF(G24&lt;E24,"Зав. № не все ("&amp;G24&amp;" из "&amp;E24&amp;")",IF(J24="-","Зав. № есть, АоРПИ нет",IF(K24="Подписан","ОК: зав. № + АоРПИ подписан","Зав. № есть, АоРПИ не подписан"))))</f>
        <v/>
      </c>
      <c r="M24" s="6" t="n"/>
      <c r="N24" s="6" t="n"/>
      <c r="O24" s="6" t="n"/>
      <c r="P24" s="6" t="n"/>
      <c r="Q24" s="6" t="n"/>
      <c r="R24" s="11" t="inlineStr">
        <is>
          <t>Позиция добавлена из сводной 17.08.2026</t>
        </is>
      </c>
    </row>
    <row r="25">
      <c r="D25" s="7" t="inlineStr">
        <is>
          <t>Итого</t>
        </is>
      </c>
      <c r="E25" s="7">
        <f>SUM(E6:E24)</f>
        <v/>
      </c>
      <c r="G25" s="7">
        <f>SUM(G6:G24)</f>
        <v/>
      </c>
    </row>
  </sheetData>
  <autoFilter ref="A5:R24"/>
  <conditionalFormatting sqref="F6:F24">
    <cfRule type="expression" priority="5" dxfId="1">
      <formula>$F6=""</formula>
    </cfRule>
  </conditionalFormatting>
  <conditionalFormatting sqref="L6:L24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J6" r:id="rId2"/>
    <hyperlink xmlns:r="http://schemas.openxmlformats.org/officeDocument/2006/relationships" ref="I7" r:id="rId3"/>
  </hyperlink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ЭО — оборудование (раздел «Оборудование» спецификации), заводские номера и АоРПИ</t>
        </is>
      </c>
    </row>
    <row r="2">
      <c r="A2" s="14" t="inlineStr">
        <is>
          <t>СО: E19006-CXPP-3120-ЭО.СО-001, ревизия 4А (.xlsx)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 DY2.2N</t>
        </is>
      </c>
      <c r="B6" s="6" t="inlineStr">
        <is>
          <t>Пункт распределительный навесной 400 В (вводной)</t>
        </is>
      </c>
      <c r="C6" s="6" t="inlineStr">
        <is>
          <t>03-90-1200-28-ЭО-002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1541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  <c r="O6" s="6" t="inlineStr">
        <is>
          <t>CHENGDA-MU-IC-1541</t>
        </is>
      </c>
      <c r="P6" s="6" t="inlineStr">
        <is>
          <t>нет, акт рабочий лист</t>
        </is>
      </c>
      <c r="Q6" s="6" t="inlineStr">
        <is>
          <t>Документов нет, есть серьезные замечания к шкафам.</t>
        </is>
      </c>
      <c r="R6" s="11" t="inlineStr">
        <is>
          <t>RFI 1541 добавлен из сводной</t>
        </is>
      </c>
    </row>
    <row r="7" ht="26.4" customHeight="1" s="19">
      <c r="A7" s="6" t="inlineStr">
        <is>
          <t>1.2 DY1.1N…DY1.6N</t>
        </is>
      </c>
      <c r="B7" s="6" t="inlineStr">
        <is>
          <t>Пункт распределительный навесной 400 В</t>
        </is>
      </c>
      <c r="C7" s="6" t="inlineStr">
        <is>
          <t>03-90-1200-28-ЭО-002</t>
        </is>
      </c>
      <c r="D7" s="6" t="inlineStr">
        <is>
          <t>шт</t>
        </is>
      </c>
      <c r="E7" s="6" t="n">
        <v>6</v>
      </c>
      <c r="F7" s="6" t="n"/>
      <c r="G7" s="6" t="n">
        <v>0</v>
      </c>
      <c r="H7" s="6" t="n"/>
      <c r="I7" s="6" t="inlineStr">
        <is>
          <t>1541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  <c r="O7" s="6" t="inlineStr">
        <is>
          <t>CHENGDA-MU-IC-1541</t>
        </is>
      </c>
      <c r="P7" s="6" t="inlineStr">
        <is>
          <t>нет, акт рабочий лист</t>
        </is>
      </c>
      <c r="Q7" s="6" t="inlineStr">
        <is>
          <t>Документов нет, есть серьезные замечания к шкафам.</t>
        </is>
      </c>
      <c r="R7" s="11" t="inlineStr">
        <is>
          <t>RFI 1541 добавлен из сводной</t>
        </is>
      </c>
    </row>
    <row r="8" ht="26.4" customHeight="1" s="19">
      <c r="A8" s="6" t="inlineStr">
        <is>
          <t>1.3 DS2.1N</t>
        </is>
      </c>
      <c r="B8" s="6" t="inlineStr">
        <is>
          <t>Вводно-распределительное устройство 100 А (щит освещения)</t>
        </is>
      </c>
      <c r="C8" s="6" t="inlineStr">
        <is>
          <t>03-90-1200-28-ЭО-002</t>
        </is>
      </c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6" t="inlineStr">
        <is>
          <t>1541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  <c r="O8" s="6" t="inlineStr">
        <is>
          <t>CHENGDA-MU-IC-1541</t>
        </is>
      </c>
      <c r="P8" s="6" t="inlineStr">
        <is>
          <t>нет, акт рабочий лист</t>
        </is>
      </c>
      <c r="Q8" s="6" t="inlineStr">
        <is>
          <t>Документов нет</t>
        </is>
      </c>
      <c r="R8" s="11" t="inlineStr">
        <is>
          <t>RFI 1541 добавлен из сводной</t>
        </is>
      </c>
    </row>
    <row r="9" ht="26.4" customHeight="1" s="19">
      <c r="A9" s="6" t="inlineStr">
        <is>
          <t>1.4 DS2.2N</t>
        </is>
      </c>
      <c r="B9" s="6" t="inlineStr">
        <is>
          <t>Вводно-распределительное устройство 100 А (щит освещения)</t>
        </is>
      </c>
      <c r="C9" s="6" t="inlineStr">
        <is>
          <t>03-90-1200-28-ЭО-002</t>
        </is>
      </c>
      <c r="D9" s="6" t="inlineStr">
        <is>
          <t>шт</t>
        </is>
      </c>
      <c r="E9" s="6" t="n">
        <v>1</v>
      </c>
      <c r="F9" s="6" t="n"/>
      <c r="G9" s="6" t="n">
        <v>0</v>
      </c>
      <c r="H9" s="6" t="n"/>
      <c r="I9" s="6" t="inlineStr">
        <is>
          <t>1541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  <c r="O9" s="6" t="inlineStr">
        <is>
          <t>CHENGDA-MU-IC-1541</t>
        </is>
      </c>
      <c r="P9" s="6" t="inlineStr">
        <is>
          <t>нет, акт рабочий лист</t>
        </is>
      </c>
      <c r="Q9" s="6" t="inlineStr">
        <is>
          <t>Документов нет</t>
        </is>
      </c>
      <c r="R9" s="11" t="inlineStr">
        <is>
          <t>RFI 1541 добавлен из сводной</t>
        </is>
      </c>
    </row>
    <row r="10" ht="52.8" customHeight="1" s="19">
      <c r="A10" s="6" t="inlineStr">
        <is>
          <t>3.1</t>
        </is>
      </c>
      <c r="B10" s="6" t="inlineStr">
        <is>
          <t>Светильник светодиодный, накладной, опал. рассеиватель</t>
        </is>
      </c>
      <c r="C10" s="6" t="inlineStr">
        <is>
          <t>Тип 1</t>
        </is>
      </c>
      <c r="D10" s="6" t="inlineStr">
        <is>
          <t>шт</t>
        </is>
      </c>
      <c r="E10" s="6" t="n">
        <v>62</v>
      </c>
      <c r="F10" s="6" t="n"/>
      <c r="G10" s="6" t="n">
        <v>0</v>
      </c>
      <c r="H10" s="6" t="n"/>
      <c r="I10" s="6" t="inlineStr">
        <is>
          <t>1408-1, 1449-1, 1565-1, 1408, 1449</t>
        </is>
      </c>
      <c r="J10" s="5" t="inlineStr">
        <is>
          <t>1070-3120-ЭО-ВК-ЧНД</t>
        </is>
      </c>
      <c r="K10" s="6" t="inlineStr">
        <is>
          <t>Не 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inlineStr">
        <is>
          <t>Светильники по RFI 1408-1/1449-1/1565-1 (типы SZSW/SW1230) — соответствие типам СО не подтверждено; зав. № на светильники в документах не указываются</t>
        </is>
      </c>
      <c r="N10" s="6" t="n"/>
      <c r="O10" s="6" t="inlineStr">
        <is>
          <t>CHENGDA-MU-IC-1408 / CHENGDA-MU-IC-1449</t>
        </is>
      </c>
      <c r="P10" s="6" t="inlineStr">
        <is>
          <t>1070-3120-ЭО-ВК-ЧНД</t>
        </is>
      </c>
      <c r="Q10" s="6" t="inlineStr">
        <is>
          <t>Светильники приняты, но они напрямую вс не соответствуют, нужно будет TQ/
Это моя ошибка.</t>
        </is>
      </c>
      <c r="R10" s="11" t="inlineStr">
        <is>
          <t>RFI 1408 добавлен из сводной; RFI 1449 добавлен из сводной</t>
        </is>
      </c>
    </row>
    <row r="11" ht="39.6" customHeight="1" s="19">
      <c r="A11" s="6" t="inlineStr">
        <is>
          <t>3.2</t>
        </is>
      </c>
      <c r="B11" s="6" t="inlineStr">
        <is>
          <t>Светильник светодиодный, накладной, с БАП</t>
        </is>
      </c>
      <c r="C11" s="6" t="inlineStr">
        <is>
          <t>Тип 1.1</t>
        </is>
      </c>
      <c r="D11" s="6" t="inlineStr">
        <is>
          <t>шт</t>
        </is>
      </c>
      <c r="E11" s="6" t="n">
        <v>46</v>
      </c>
      <c r="F11" s="6" t="n"/>
      <c r="G11" s="6" t="n">
        <v>0</v>
      </c>
      <c r="H11" s="6" t="n"/>
      <c r="I11" s="6" t="inlineStr">
        <is>
          <t>1408-1, 1449-1, 1565-1, 1408, 1449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  <c r="O11" s="6" t="inlineStr">
        <is>
          <t>CHENGDA-MU-IC-1408 / CHENGDA-MU-IC-1449</t>
        </is>
      </c>
      <c r="P11" s="6" t="n"/>
      <c r="Q11" s="6" t="inlineStr">
        <is>
          <t>Светильники приняты, но они напрямую вс не соответствуют, нужно будет TQ/
Это моя ошибка.</t>
        </is>
      </c>
      <c r="R11" s="11" t="inlineStr">
        <is>
          <t>RFI 1408 добавлен из сводной; RFI 1449 добавлен из сводной; АоРПИ по светильникам принят по сводной: -</t>
        </is>
      </c>
    </row>
    <row r="12" ht="39.6" customHeight="1" s="19">
      <c r="A12" s="6" t="inlineStr">
        <is>
          <t>3.3</t>
        </is>
      </c>
      <c r="B12" s="6" t="inlineStr">
        <is>
          <t>Светильник светодиодный, накладной, микропризма</t>
        </is>
      </c>
      <c r="C12" s="6" t="inlineStr">
        <is>
          <t>Тип 2</t>
        </is>
      </c>
      <c r="D12" s="6" t="inlineStr">
        <is>
          <t>шт</t>
        </is>
      </c>
      <c r="E12" s="6" t="n">
        <v>18</v>
      </c>
      <c r="F12" s="6" t="n"/>
      <c r="G12" s="6" t="n">
        <v>0</v>
      </c>
      <c r="H12" s="6" t="n"/>
      <c r="I12" s="6" t="inlineStr">
        <is>
          <t>1408-1, 1449-1, 1565-1, 1408, 1449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  <c r="O12" s="6" t="inlineStr">
        <is>
          <t>CHENGDA-MU-IC-1408 / CHENGDA-MU-IC-1449</t>
        </is>
      </c>
      <c r="P12" s="6" t="n"/>
      <c r="Q12" s="6" t="inlineStr">
        <is>
          <t>Светильники приняты, но они напрямую вс не соответствуют, нужно будет TQ/
Это моя ошибка.</t>
        </is>
      </c>
      <c r="R12" s="11" t="inlineStr">
        <is>
          <t>RFI 1408 добавлен из сводной; RFI 1449 добавлен из сводной</t>
        </is>
      </c>
    </row>
    <row r="13" ht="39.6" customHeight="1" s="19">
      <c r="A13" s="6" t="inlineStr">
        <is>
          <t>3.4</t>
        </is>
      </c>
      <c r="B13" s="6" t="inlineStr">
        <is>
          <t>Светильник светодиодный, накладной, микропризма, с БАП</t>
        </is>
      </c>
      <c r="C13" s="6" t="inlineStr">
        <is>
          <t>Тип 2.1</t>
        </is>
      </c>
      <c r="D13" s="6" t="inlineStr">
        <is>
          <t>шт</t>
        </is>
      </c>
      <c r="E13" s="6" t="n">
        <v>15</v>
      </c>
      <c r="F13" s="6" t="n"/>
      <c r="G13" s="6" t="n">
        <v>0</v>
      </c>
      <c r="H13" s="6" t="n"/>
      <c r="I13" s="6" t="inlineStr">
        <is>
          <t>1408-1, 1449-1, 1565-1, 1408, 1449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  <c r="O13" s="6" t="inlineStr">
        <is>
          <t>CHENGDA-MU-IC-1408 / CHENGDA-MU-IC-1449</t>
        </is>
      </c>
      <c r="P13" s="6" t="n"/>
      <c r="Q13" s="6" t="inlineStr">
        <is>
          <t>Светильники приняты, но они напрямую вс не соответствуют, нужно будет TQ/
Это моя ошибка.</t>
        </is>
      </c>
      <c r="R13" s="11" t="inlineStr">
        <is>
          <t>RFI 1408 добавлен из сводной; RFI 1449 добавлен из сводной</t>
        </is>
      </c>
    </row>
    <row r="14" ht="39.6" customHeight="1" s="19">
      <c r="A14" s="6" t="inlineStr">
        <is>
          <t>3.5</t>
        </is>
      </c>
      <c r="B14" s="6" t="inlineStr">
        <is>
          <t>Светильник светодиодный, накладной 2200 лм</t>
        </is>
      </c>
      <c r="C14" s="6" t="inlineStr">
        <is>
          <t>Тип 4</t>
        </is>
      </c>
      <c r="D14" s="6" t="inlineStr">
        <is>
          <t>шт</t>
        </is>
      </c>
      <c r="E14" s="6" t="n">
        <v>31</v>
      </c>
      <c r="F14" s="6" t="n"/>
      <c r="G14" s="6" t="n">
        <v>0</v>
      </c>
      <c r="H14" s="6" t="n"/>
      <c r="I14" s="6" t="inlineStr">
        <is>
          <t>1408-1, 1449-1, 1565-1, 1408</t>
        </is>
      </c>
      <c r="J14" s="5" t="inlineStr">
        <is>
          <t>1070-3120-ЭО-ВК-ЧНД</t>
        </is>
      </c>
      <c r="K14" s="6" t="inlineStr">
        <is>
          <t>Не подписан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  <c r="O14" s="6" t="inlineStr">
        <is>
          <t>CHENGDA-MU-IC-1408</t>
        </is>
      </c>
      <c r="P14" s="6" t="inlineStr">
        <is>
          <t>1070-3120-ЭО-ВК-ЧНД</t>
        </is>
      </c>
      <c r="Q14" s="6" t="inlineStr">
        <is>
          <t>Светильники приняты, но они напрямую вс не соответствуют, нужно будет TQ/
Это моя ошибка.</t>
        </is>
      </c>
      <c r="R14" s="11" t="inlineStr">
        <is>
          <t>RFI 1408 добавлен из сводной; АоРПИ по светильникам принят по сводной: 1070-3120-ЭО-ВК-ЧНД</t>
        </is>
      </c>
    </row>
    <row r="15" ht="39.6" customHeight="1" s="19">
      <c r="A15" s="6" t="inlineStr">
        <is>
          <t>3.6</t>
        </is>
      </c>
      <c r="B15" s="6" t="inlineStr">
        <is>
          <t>Светильник светодиодный, накладной 2200 лм, с БАП</t>
        </is>
      </c>
      <c r="C15" s="6" t="inlineStr">
        <is>
          <t>Тип 4.1</t>
        </is>
      </c>
      <c r="D15" s="6" t="inlineStr">
        <is>
          <t>шт</t>
        </is>
      </c>
      <c r="E15" s="6" t="n">
        <v>9</v>
      </c>
      <c r="F15" s="6" t="n"/>
      <c r="G15" s="6" t="n">
        <v>0</v>
      </c>
      <c r="H15" s="6" t="n"/>
      <c r="I15" s="6" t="inlineStr">
        <is>
          <t>1408-1, 1449-1, 1565-1, 1408, 1449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  <c r="O15" s="6" t="inlineStr">
        <is>
          <t>CHENGDA-MU-IC-1408 / CHENGDA-MU-IC-1449</t>
        </is>
      </c>
      <c r="P15" s="6" t="n"/>
      <c r="Q15" s="6" t="inlineStr">
        <is>
          <t>Светильники приняты, но они напрямую вс не соответствуют, нужно будет TQ/
Это моя ошибка.</t>
        </is>
      </c>
      <c r="R15" s="11" t="inlineStr">
        <is>
          <t>RFI 1408 добавлен из сводной; RFI 1449 добавлен из сводной</t>
        </is>
      </c>
    </row>
    <row r="16" ht="39.6" customHeight="1" s="19">
      <c r="A16" s="6" t="inlineStr">
        <is>
          <t>3.7</t>
        </is>
      </c>
      <c r="B16" s="6" t="inlineStr">
        <is>
          <t>Светильник светодиодный, накладной 3300 лм</t>
        </is>
      </c>
      <c r="C16" s="6" t="inlineStr">
        <is>
          <t>Тип 5</t>
        </is>
      </c>
      <c r="D16" s="6" t="inlineStr">
        <is>
          <t>шт</t>
        </is>
      </c>
      <c r="E16" s="6" t="n">
        <v>27</v>
      </c>
      <c r="F16" s="6" t="n"/>
      <c r="G16" s="6" t="n">
        <v>0</v>
      </c>
      <c r="H16" s="6" t="n"/>
      <c r="I16" s="6" t="inlineStr">
        <is>
          <t>1408-1, 1449-1, 1565-1, 1408, 1449</t>
        </is>
      </c>
      <c r="J16" s="6" t="inlineStr">
        <is>
          <t>-</t>
        </is>
      </c>
      <c r="K16" s="6" t="inlineStr">
        <is>
          <t>-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  <c r="O16" s="6" t="inlineStr">
        <is>
          <t>CHENGDA-MU-IC-1408 / CHENGDA-MU-IC-1449</t>
        </is>
      </c>
      <c r="P16" s="6" t="n"/>
      <c r="Q16" s="6" t="inlineStr">
        <is>
          <t>Светильники приняты, но они напрямую вс не соответствуют, нужно будет TQ/
Это моя ошибка.</t>
        </is>
      </c>
      <c r="R16" s="11" t="inlineStr">
        <is>
          <t>RFI 1408 добавлен из сводной; RFI 1449 добавлен из сводной</t>
        </is>
      </c>
    </row>
    <row r="17" ht="39.6" customHeight="1" s="19">
      <c r="A17" s="6" t="inlineStr">
        <is>
          <t>3.8</t>
        </is>
      </c>
      <c r="B17" s="6" t="inlineStr">
        <is>
          <t>Светильник светодиодный, накладной 3300 лм, с БАП</t>
        </is>
      </c>
      <c r="C17" s="6" t="inlineStr">
        <is>
          <t>Тип 5.1</t>
        </is>
      </c>
      <c r="D17" s="6" t="inlineStr">
        <is>
          <t>шт</t>
        </is>
      </c>
      <c r="E17" s="6" t="n">
        <v>7</v>
      </c>
      <c r="F17" s="6" t="n"/>
      <c r="G17" s="6" t="n">
        <v>0</v>
      </c>
      <c r="H17" s="6" t="n"/>
      <c r="I17" s="6" t="inlineStr">
        <is>
          <t>1408-1, 1449-1, 1565-1, 1408, 1449</t>
        </is>
      </c>
      <c r="J17" s="6" t="inlineStr">
        <is>
          <t>-</t>
        </is>
      </c>
      <c r="K17" s="6" t="inlineStr">
        <is>
          <t>-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  <c r="O17" s="6" t="inlineStr">
        <is>
          <t>CHENGDA-MU-IC-1408 / CHENGDA-MU-IC-1449</t>
        </is>
      </c>
      <c r="P17" s="6" t="n"/>
      <c r="Q17" s="6" t="inlineStr">
        <is>
          <t>Светильники приняты, но они напрямую вс не соответствуют, нужно будет TQ/
Это моя ошибка.</t>
        </is>
      </c>
      <c r="R17" s="11" t="inlineStr">
        <is>
          <t>RFI 1408 добавлен из сводной; RFI 1449 добавлен из сводной</t>
        </is>
      </c>
    </row>
    <row r="18" ht="39.6" customHeight="1" s="19">
      <c r="A18" s="6" t="inlineStr">
        <is>
          <t>3.9</t>
        </is>
      </c>
      <c r="B18" s="6" t="inlineStr">
        <is>
          <t>Светильник светодиодный, накладной 1900 лм</t>
        </is>
      </c>
      <c r="C18" s="6" t="inlineStr">
        <is>
          <t>Тип 6</t>
        </is>
      </c>
      <c r="D18" s="6" t="inlineStr">
        <is>
          <t>шт</t>
        </is>
      </c>
      <c r="E18" s="6" t="n">
        <v>21</v>
      </c>
      <c r="F18" s="6" t="n"/>
      <c r="G18" s="6" t="n">
        <v>0</v>
      </c>
      <c r="H18" s="6" t="n"/>
      <c r="I18" s="6" t="inlineStr">
        <is>
          <t>1408-1, 1449-1, 1565-1, 1408, 1449</t>
        </is>
      </c>
      <c r="J18" s="5" t="inlineStr">
        <is>
          <t>1070-3120-ЭО-ВК-ЧНД</t>
        </is>
      </c>
      <c r="K18" s="6" t="inlineStr">
        <is>
          <t>Не подписан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6" t="n"/>
      <c r="O18" s="6" t="inlineStr">
        <is>
          <t>CHENGDA-MU-IC-1408 / CHENGDA-MU-IC-1449</t>
        </is>
      </c>
      <c r="P18" s="6" t="inlineStr">
        <is>
          <t>1070-3120-ЭО-ВК-ЧНД</t>
        </is>
      </c>
      <c r="Q18" s="6" t="inlineStr">
        <is>
          <t>Светильники приняты, но они напрямую вс не соответствуют, нужно будет TQ/
Это моя ошибка.</t>
        </is>
      </c>
      <c r="R18" s="11" t="inlineStr">
        <is>
          <t>RFI 1408 добавлен из сводной; RFI 1449 добавлен из сводной; АоРПИ по светильникам принят по сводной: 1070-3120-ЭО-ВК-ЧНД</t>
        </is>
      </c>
    </row>
    <row r="19" ht="39.6" customHeight="1" s="19">
      <c r="A19" s="6" t="inlineStr">
        <is>
          <t>3.10</t>
        </is>
      </c>
      <c r="B19" s="6" t="inlineStr">
        <is>
          <t>Светильник светодиодный, накладной 1700 лм</t>
        </is>
      </c>
      <c r="C19" s="6" t="inlineStr">
        <is>
          <t>Тип 7</t>
        </is>
      </c>
      <c r="D19" s="6" t="inlineStr">
        <is>
          <t>шт</t>
        </is>
      </c>
      <c r="E19" s="6" t="n">
        <v>4</v>
      </c>
      <c r="F19" s="6" t="n"/>
      <c r="G19" s="6" t="n">
        <v>0</v>
      </c>
      <c r="H19" s="6" t="n"/>
      <c r="I19" s="6" t="inlineStr">
        <is>
          <t>1408-1, 1449-1, 1565-1, 1408, 1449</t>
        </is>
      </c>
      <c r="J19" s="6" t="inlineStr">
        <is>
          <t>-</t>
        </is>
      </c>
      <c r="K19" s="6" t="inlineStr">
        <is>
          <t>-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6" t="n"/>
      <c r="O19" s="6" t="inlineStr">
        <is>
          <t>CHENGDA-MU-IC-1408 / CHENGDA-MU-IC-1449</t>
        </is>
      </c>
      <c r="P19" s="6" t="n"/>
      <c r="Q19" s="6" t="inlineStr">
        <is>
          <t>Светильники приняты, но они напрямую вс не соответствуют, нужно будет TQ/
Это моя ошибка.</t>
        </is>
      </c>
      <c r="R19" s="11" t="inlineStr">
        <is>
          <t>RFI 1408 добавлен из сводной; RFI 1449 добавлен из сводной</t>
        </is>
      </c>
    </row>
    <row r="20" ht="39.6" customHeight="1" s="19">
      <c r="A20" s="6" t="inlineStr">
        <is>
          <t>3.11</t>
        </is>
      </c>
      <c r="B20" s="6" t="inlineStr">
        <is>
          <t>Светильник светодиодный, накладной 1200 лм</t>
        </is>
      </c>
      <c r="C20" s="6" t="inlineStr">
        <is>
          <t>Тип 8</t>
        </is>
      </c>
      <c r="D20" s="6" t="inlineStr">
        <is>
          <t>шт</t>
        </is>
      </c>
      <c r="E20" s="6" t="n">
        <v>7</v>
      </c>
      <c r="F20" s="6" t="n"/>
      <c r="G20" s="6" t="n">
        <v>0</v>
      </c>
      <c r="H20" s="6" t="n"/>
      <c r="I20" s="6" t="inlineStr">
        <is>
          <t>1408-1, 1449-1, 1565-1, 1408, 1449</t>
        </is>
      </c>
      <c r="J20" s="5" t="inlineStr">
        <is>
          <t>1070-3120-ЭО-ВК-ЧНД</t>
        </is>
      </c>
      <c r="K20" s="6" t="inlineStr">
        <is>
          <t>Не подписан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  <c r="O20" s="6" t="inlineStr">
        <is>
          <t>CHENGDA-MU-IC-1408 / CHENGDA-MU-IC-1449</t>
        </is>
      </c>
      <c r="P20" s="6" t="inlineStr">
        <is>
          <t>1070-3120-ЭО-ВК-ЧНД</t>
        </is>
      </c>
      <c r="Q20" s="6" t="inlineStr">
        <is>
          <t>Светильники приняты, но они напрямую вс не соответствуют, нужно будет TQ/
Это моя ошибка.</t>
        </is>
      </c>
      <c r="R20" s="11" t="inlineStr">
        <is>
          <t>RFI 1408 добавлен из сводной; RFI 1449 добавлен из сводной; АоРПИ по светильникам принят по сводной: 1070-3120-ЭО-ВК-ЧНД</t>
        </is>
      </c>
    </row>
    <row r="21" ht="39.6" customHeight="1" s="19">
      <c r="A21" s="6" t="inlineStr">
        <is>
          <t>3.12</t>
        </is>
      </c>
      <c r="B21" s="6" t="inlineStr">
        <is>
          <t>Светильник светодиодный, прожектор 7600 лм</t>
        </is>
      </c>
      <c r="C21" s="6" t="inlineStr">
        <is>
          <t>Тип 9</t>
        </is>
      </c>
      <c r="D21" s="6" t="inlineStr">
        <is>
          <t>шт</t>
        </is>
      </c>
      <c r="E21" s="6" t="n">
        <v>22</v>
      </c>
      <c r="F21" s="6" t="n"/>
      <c r="G21" s="6" t="n">
        <v>0</v>
      </c>
      <c r="H21" s="6" t="n"/>
      <c r="I21" s="6" t="inlineStr">
        <is>
          <t>1408-1, 1449-1, 1565-1, 1408, 1449</t>
        </is>
      </c>
      <c r="J21" s="5" t="inlineStr">
        <is>
          <t>1070-3120-ЭО-ВК-ЧНД</t>
        </is>
      </c>
      <c r="K21" s="6" t="inlineStr">
        <is>
          <t>Не подписан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  <c r="O21" s="6" t="inlineStr">
        <is>
          <t>CHENGDA-MU-IC-1408 / CHENGDA-MU-IC-1449</t>
        </is>
      </c>
      <c r="P21" s="6" t="inlineStr">
        <is>
          <t>1070-3120-ЭО-ВК-ЧНД</t>
        </is>
      </c>
      <c r="Q21" s="6" t="inlineStr">
        <is>
          <t>Светильники приняты, но они напрямую вс не соответствуют, нужно будет TQ/
Это моя ошибка.</t>
        </is>
      </c>
      <c r="R21" s="11" t="inlineStr">
        <is>
          <t>RFI 1408 добавлен из сводной; RFI 1449 добавлен из сводной; АоРПИ по светильникам принят по сводной: 1070-3120-ЭО-ВК-ЧНД</t>
        </is>
      </c>
    </row>
    <row r="22" ht="39.6" customHeight="1" s="19">
      <c r="A22" s="6" t="inlineStr">
        <is>
          <t>3.13</t>
        </is>
      </c>
      <c r="B22" s="6" t="inlineStr">
        <is>
          <t>Светильник светодиодный, встраиваемый 2000 лм</t>
        </is>
      </c>
      <c r="C22" s="6" t="inlineStr">
        <is>
          <t>Тип 10</t>
        </is>
      </c>
      <c r="D22" s="6" t="inlineStr">
        <is>
          <t>шт</t>
        </is>
      </c>
      <c r="E22" s="6" t="n">
        <v>9</v>
      </c>
      <c r="F22" s="6" t="n"/>
      <c r="G22" s="6" t="n">
        <v>0</v>
      </c>
      <c r="H22" s="6" t="n"/>
      <c r="I22" s="6" t="inlineStr">
        <is>
          <t>1408-1, 1449-1, 1565-1, 1408, 1449</t>
        </is>
      </c>
      <c r="J22" s="6" t="inlineStr">
        <is>
          <t>-</t>
        </is>
      </c>
      <c r="K22" s="6" t="inlineStr">
        <is>
          <t>-</t>
        </is>
      </c>
      <c r="L22" s="6">
        <f>IF(F22="",IF(J22="-","Нет зав. №, нет АоРПИ","Нет зав. №"),IF(G22&lt;E22,"Зав. № не все ("&amp;G22&amp;" из "&amp;E22&amp;")",IF(J22="-","Зав. № есть, АоРПИ нет",IF(K22="Подписан","ОК: зав. № + АоРПИ подписан","Зав. № есть, АоРПИ не подписан"))))</f>
        <v/>
      </c>
      <c r="M22" s="6" t="n"/>
      <c r="N22" s="6" t="n"/>
      <c r="O22" s="6" t="inlineStr">
        <is>
          <t>CHENGDA-MU-IC-1408 / CHENGDA-MU-IC-1449</t>
        </is>
      </c>
      <c r="P22" s="6" t="n"/>
      <c r="Q22" s="6" t="inlineStr">
        <is>
          <t>Светильники приняты, но они напрямую вс не соответствуют, нужно будет TQ/
Это моя ошибка.</t>
        </is>
      </c>
      <c r="R22" s="11" t="inlineStr">
        <is>
          <t>RFI 1408 добавлен из сводной; RFI 1449 добавлен из сводной</t>
        </is>
      </c>
    </row>
    <row r="23" ht="39.6" customHeight="1" s="19">
      <c r="A23" s="6" t="inlineStr">
        <is>
          <t>3.14</t>
        </is>
      </c>
      <c r="B23" s="6" t="inlineStr">
        <is>
          <t>Светильник светодиодный, встраиваемый, с БАП</t>
        </is>
      </c>
      <c r="C23" s="6" t="inlineStr">
        <is>
          <t>Тип 10.1</t>
        </is>
      </c>
      <c r="D23" s="6" t="inlineStr">
        <is>
          <t>шт</t>
        </is>
      </c>
      <c r="E23" s="6" t="n">
        <v>1</v>
      </c>
      <c r="F23" s="6" t="n"/>
      <c r="G23" s="6" t="n">
        <v>0</v>
      </c>
      <c r="H23" s="6" t="n"/>
      <c r="I23" s="6" t="inlineStr">
        <is>
          <t>1408-1, 1449-1, 1565-1, 1408, 1449</t>
        </is>
      </c>
      <c r="J23" s="5" t="inlineStr">
        <is>
          <t>1070-3120-ЭО-ВК-ЧНД</t>
        </is>
      </c>
      <c r="K23" s="6" t="inlineStr">
        <is>
          <t>Не подписан</t>
        </is>
      </c>
      <c r="L23" s="6">
        <f>IF(F23="",IF(J23="-","Нет зав. №, нет АоРПИ","Нет зав. №"),IF(G23&lt;E23,"Зав. № не все ("&amp;G23&amp;" из "&amp;E23&amp;")",IF(J23="-","Зав. № есть, АоРПИ нет",IF(K23="Подписан","ОК: зав. № + АоРПИ подписан","Зав. № есть, АоРПИ не подписан"))))</f>
        <v/>
      </c>
      <c r="M23" s="6" t="n"/>
      <c r="N23" s="6" t="n"/>
      <c r="O23" s="6" t="inlineStr">
        <is>
          <t>CHENGDA-MU-IC-1408 / CHENGDA-MU-IC-1449</t>
        </is>
      </c>
      <c r="P23" s="6" t="inlineStr">
        <is>
          <t>1070-3120-ЭО-ВК-ЧНД</t>
        </is>
      </c>
      <c r="Q23" s="6" t="inlineStr">
        <is>
          <t>Светильники приняты, но они напрямую вс не соответствуют, нужно будет TQ/
Это моя ошибка.</t>
        </is>
      </c>
      <c r="R23" s="11" t="inlineStr">
        <is>
          <t>RFI 1408 добавлен из сводной; RFI 1449 добавлен из сводной; АоРПИ по светильникам принят по сводной: 1070-3120-ЭО-ВК-ЧНД</t>
        </is>
      </c>
    </row>
    <row r="24" ht="39.6" customHeight="1" s="19">
      <c r="A24" s="6" t="inlineStr">
        <is>
          <t>3.15</t>
        </is>
      </c>
      <c r="B24" s="6" t="inlineStr">
        <is>
          <t>Светильник светодиодный, встраиваемый 3400 лм</t>
        </is>
      </c>
      <c r="C24" s="6" t="inlineStr">
        <is>
          <t>Тип 11</t>
        </is>
      </c>
      <c r="D24" s="6" t="inlineStr">
        <is>
          <t>шт</t>
        </is>
      </c>
      <c r="E24" s="6" t="n">
        <v>4</v>
      </c>
      <c r="F24" s="6" t="n"/>
      <c r="G24" s="6" t="n">
        <v>0</v>
      </c>
      <c r="H24" s="6" t="n"/>
      <c r="I24" s="6" t="inlineStr">
        <is>
          <t>1408-1, 1449-1, 1565-1, 1408, 1449</t>
        </is>
      </c>
      <c r="J24" s="6" t="inlineStr">
        <is>
          <t>-</t>
        </is>
      </c>
      <c r="K24" s="6" t="inlineStr">
        <is>
          <t>-</t>
        </is>
      </c>
      <c r="L24" s="6">
        <f>IF(F24="",IF(J24="-","Нет зав. №, нет АоРПИ","Нет зав. №"),IF(G24&lt;E24,"Зав. № не все ("&amp;G24&amp;" из "&amp;E24&amp;")",IF(J24="-","Зав. № есть, АоРПИ нет",IF(K24="Подписан","ОК: зав. № + АоРПИ подписан","Зав. № есть, АоРПИ не подписан"))))</f>
        <v/>
      </c>
      <c r="M24" s="6" t="n"/>
      <c r="N24" s="6" t="n"/>
      <c r="O24" s="6" t="inlineStr">
        <is>
          <t>CHENGDA-MU-IC-1408 / CHENGDA-MU-IC-1449</t>
        </is>
      </c>
      <c r="P24" s="6" t="n"/>
      <c r="Q24" s="6" t="inlineStr">
        <is>
          <t>Светильники приняты, но они напрямую вс не соответствуют, нужно будет TQ/
Это моя ошибка.</t>
        </is>
      </c>
      <c r="R24" s="11" t="inlineStr">
        <is>
          <t>RFI 1408 добавлен из сводной; RFI 1449 добавлен из сводной</t>
        </is>
      </c>
    </row>
    <row r="25" ht="39.6" customHeight="1" s="19">
      <c r="A25" s="6" t="inlineStr">
        <is>
          <t>3.16</t>
        </is>
      </c>
      <c r="B25" s="6" t="inlineStr">
        <is>
          <t>Светильник светодиодный, встраиваемый 3400 лм, с БАП</t>
        </is>
      </c>
      <c r="C25" s="6" t="inlineStr">
        <is>
          <t>Тип 11.1</t>
        </is>
      </c>
      <c r="D25" s="6" t="inlineStr">
        <is>
          <t>шт</t>
        </is>
      </c>
      <c r="E25" s="6" t="n">
        <v>1</v>
      </c>
      <c r="F25" s="6" t="n"/>
      <c r="G25" s="6" t="n">
        <v>0</v>
      </c>
      <c r="H25" s="6" t="n"/>
      <c r="I25" s="6" t="inlineStr">
        <is>
          <t>1408-1, 1449-1, 1565-1, 1408, 1449</t>
        </is>
      </c>
      <c r="J25" s="5" t="inlineStr">
        <is>
          <t>1070-3120-ЭО-ВК-ЧНД</t>
        </is>
      </c>
      <c r="K25" s="6" t="inlineStr">
        <is>
          <t>Не подписан</t>
        </is>
      </c>
      <c r="L25" s="6">
        <f>IF(F25="",IF(J25="-","Нет зав. №, нет АоРПИ","Нет зав. №"),IF(G25&lt;E25,"Зав. № не все ("&amp;G25&amp;" из "&amp;E25&amp;")",IF(J25="-","Зав. № есть, АоРПИ нет",IF(K25="Подписан","ОК: зав. № + АоРПИ подписан","Зав. № есть, АоРПИ не подписан"))))</f>
        <v/>
      </c>
      <c r="M25" s="6" t="n"/>
      <c r="N25" s="6" t="n"/>
      <c r="O25" s="6" t="inlineStr">
        <is>
          <t>CHENGDA-MU-IC-1408 / CHENGDA-MU-IC-1449</t>
        </is>
      </c>
      <c r="P25" s="6" t="inlineStr">
        <is>
          <t>1070-3120-ЭО-ВК-ЧНД</t>
        </is>
      </c>
      <c r="Q25" s="6" t="inlineStr">
        <is>
          <t>Светильники приняты, но они напрямую вс не соответствуют, нужно будет TQ/
Это моя ошибка.</t>
        </is>
      </c>
      <c r="R25" s="11" t="inlineStr">
        <is>
          <t>RFI 1408 добавлен из сводной; RFI 1449 добавлен из сводной; АоРПИ по светильникам принят по сводной: 1070-3120-ЭО-ВК-ЧНД</t>
        </is>
      </c>
    </row>
    <row r="26" ht="39.6" customHeight="1" s="19">
      <c r="A26" s="6" t="inlineStr">
        <is>
          <t>3.17</t>
        </is>
      </c>
      <c r="B26" s="6" t="inlineStr">
        <is>
          <t>Светильник светодиодный, на консоль 3400 лм</t>
        </is>
      </c>
      <c r="C26" s="6" t="inlineStr">
        <is>
          <t>Тип 12</t>
        </is>
      </c>
      <c r="D26" s="6" t="inlineStr">
        <is>
          <t>шт</t>
        </is>
      </c>
      <c r="E26" s="6" t="n">
        <v>6</v>
      </c>
      <c r="F26" s="6" t="n"/>
      <c r="G26" s="6" t="n">
        <v>0</v>
      </c>
      <c r="H26" s="6" t="n"/>
      <c r="I26" s="6" t="inlineStr">
        <is>
          <t>1408-1, 1449-1, 1565-1, 1408, 1449</t>
        </is>
      </c>
      <c r="J26" s="6" t="inlineStr">
        <is>
          <t>-</t>
        </is>
      </c>
      <c r="K26" s="6" t="inlineStr">
        <is>
          <t>-</t>
        </is>
      </c>
      <c r="L26" s="6">
        <f>IF(F26="",IF(J26="-","Нет зав. №, нет АоРПИ","Нет зав. №"),IF(G26&lt;E26,"Зав. № не все ("&amp;G26&amp;" из "&amp;E26&amp;")",IF(J26="-","Зав. № есть, АоРПИ нет",IF(K26="Подписан","ОК: зав. № + АоРПИ подписан","Зав. № есть, АоРПИ не подписан"))))</f>
        <v/>
      </c>
      <c r="M26" s="6" t="n"/>
      <c r="N26" s="6" t="n"/>
      <c r="O26" s="6" t="inlineStr">
        <is>
          <t>CHENGDA-MU-IC-1408 / CHENGDA-MU-IC-1449</t>
        </is>
      </c>
      <c r="P26" s="6" t="n"/>
      <c r="Q26" s="6" t="inlineStr">
        <is>
          <t>Светильники приняты, но они напрямую вс не соответствуют, нужно будет TQ/
Это моя ошибка.</t>
        </is>
      </c>
      <c r="R26" s="11" t="inlineStr">
        <is>
          <t>RFI 1408 добавлен из сводной; RFI 1449 добавлен из сводной</t>
        </is>
      </c>
    </row>
    <row r="27" ht="39.6" customHeight="1" s="19">
      <c r="A27" s="6" t="inlineStr">
        <is>
          <t>3.18</t>
        </is>
      </c>
      <c r="B27" s="6" t="inlineStr">
        <is>
          <t>Светильник светодиодный, прожектор 450 Вт IP67</t>
        </is>
      </c>
      <c r="C27" s="6" t="inlineStr">
        <is>
          <t>Тип 13</t>
        </is>
      </c>
      <c r="D27" s="6" t="inlineStr">
        <is>
          <t>шт</t>
        </is>
      </c>
      <c r="E27" s="6" t="n">
        <v>18</v>
      </c>
      <c r="F27" s="6" t="n"/>
      <c r="G27" s="6" t="n">
        <v>0</v>
      </c>
      <c r="H27" s="6" t="n"/>
      <c r="I27" s="6" t="inlineStr">
        <is>
          <t>1408-1, 1449-1, 1565-1, 1408</t>
        </is>
      </c>
      <c r="J27" s="6" t="inlineStr">
        <is>
          <t>-</t>
        </is>
      </c>
      <c r="K27" s="6" t="inlineStr">
        <is>
          <t>-</t>
        </is>
      </c>
      <c r="L27" s="6">
        <f>IF(F27="",IF(J27="-","Нет зав. №, нет АоРПИ","Нет зав. №"),IF(G27&lt;E27,"Зав. № не все ("&amp;G27&amp;" из "&amp;E27&amp;")",IF(J27="-","Зав. № есть, АоРПИ нет",IF(K27="Подписан","ОК: зав. № + АоРПИ подписан","Зав. № есть, АоРПИ не подписан"))))</f>
        <v/>
      </c>
      <c r="M27" s="6" t="n"/>
      <c r="N27" s="6" t="n"/>
      <c r="O27" s="6" t="inlineStr">
        <is>
          <t>CHENGDA-MU-IC-1408</t>
        </is>
      </c>
      <c r="P27" s="6" t="inlineStr">
        <is>
          <t>нет, акт рабочий лист</t>
        </is>
      </c>
      <c r="Q27" s="6" t="inlineStr">
        <is>
          <t>Светильники приняты, но они напрямую вс не соответствуют, нужно будет TQ/
Это моя ошибка.</t>
        </is>
      </c>
      <c r="R27" s="11" t="inlineStr">
        <is>
          <t>RFI 1408 добавлен из сводной</t>
        </is>
      </c>
    </row>
    <row r="28">
      <c r="A28" s="6" t="inlineStr">
        <is>
          <t>—</t>
        </is>
      </c>
      <c r="B28" s="6" t="inlineStr">
        <is>
          <t>Ящик с понижающим трансформатором</t>
        </is>
      </c>
      <c r="C28" s="6" t="inlineStr">
        <is>
          <t>ЯТП-0,25 230/24</t>
        </is>
      </c>
      <c r="D28" s="6" t="inlineStr">
        <is>
          <t>шт</t>
        </is>
      </c>
      <c r="E28" s="6" t="n">
        <v>9</v>
      </c>
      <c r="F28" s="6" t="n"/>
      <c r="G28" s="6" t="n">
        <v>0</v>
      </c>
      <c r="H28" s="6" t="n"/>
      <c r="I28" s="5" t="inlineStr">
        <is>
          <t>1545, 1541</t>
        </is>
      </c>
      <c r="J28" s="6" t="inlineStr">
        <is>
          <t>-</t>
        </is>
      </c>
      <c r="K28" s="6" t="inlineStr">
        <is>
          <t>-</t>
        </is>
      </c>
      <c r="L28" s="6">
        <f>IF(F28="",IF(J28="-","Нет зав. №, нет АоРПИ","Нет зав. №"),IF(G28&lt;E28,"Зав. № не все ("&amp;G28&amp;" из "&amp;E28&amp;")",IF(J28="-","Зав. № есть, АоРПИ нет",IF(K28="Подписан","ОК: зав. № + АоРПИ подписан","Зав. № есть, АоРПИ не подписан"))))</f>
        <v/>
      </c>
      <c r="M28" s="6" t="inlineStr">
        <is>
          <t>RFI 1545 принят; АоРПИ нет</t>
        </is>
      </c>
      <c r="N28" s="6" t="n"/>
      <c r="O28" s="6" t="inlineStr">
        <is>
          <t>CHENGDA-MU-IC-1541</t>
        </is>
      </c>
      <c r="P28" s="6" t="n"/>
      <c r="Q28" s="6" t="n"/>
      <c r="R28" s="11" t="inlineStr">
        <is>
          <t>RFI 1541 добавлен из сводной</t>
        </is>
      </c>
    </row>
    <row r="29" ht="26.4" customHeight="1" s="19">
      <c r="A29" s="6" t="inlineStr">
        <is>
          <t>—</t>
        </is>
      </c>
      <c r="B29" s="6" t="inlineStr">
        <is>
          <t>Блок аварийного питания для LED-светильников 70 Вт</t>
        </is>
      </c>
      <c r="C29" s="6" t="inlineStr">
        <is>
          <t>CONVERSION KIT LED 70W</t>
        </is>
      </c>
      <c r="D29" s="6" t="inlineStr">
        <is>
          <t>шт</t>
        </is>
      </c>
      <c r="E29" s="6" t="n">
        <v>2</v>
      </c>
      <c r="F29" s="6" t="n"/>
      <c r="G29" s="6" t="n">
        <v>0</v>
      </c>
      <c r="H29" s="6" t="n"/>
      <c r="I29" s="6" t="inlineStr">
        <is>
          <t>1642</t>
        </is>
      </c>
      <c r="J29" s="5" t="inlineStr">
        <is>
          <t>823-3120-ЭО-ВК-ЧНД</t>
        </is>
      </c>
      <c r="K29" s="6" t="inlineStr">
        <is>
          <t>Подписан</t>
        </is>
      </c>
      <c r="L29" s="6">
        <f>IF(F29="",IF(J29="-","Нет зав. №, нет АоРПИ","Нет зав. №"),IF(G29&lt;E29,"Зав. № не все ("&amp;G29&amp;" из "&amp;E29&amp;")",IF(J29="-","Зав. № есть, АоРПИ нет",IF(K29="Подписан","ОК: зав. № + АоРПИ подписан","Зав. № есть, АоРПИ не подписан"))))</f>
        <v/>
      </c>
      <c r="M29" s="6" t="inlineStr">
        <is>
          <t>Также БАП 200 Вт — 5 шт, 120 Вт — 1 шт, АоРПИ нет</t>
        </is>
      </c>
      <c r="N29" s="6" t="n"/>
      <c r="O29" s="6" t="inlineStr">
        <is>
          <t>CHENGDA-MU-IC-1642</t>
        </is>
      </c>
      <c r="P29" s="6" t="inlineStr">
        <is>
          <t>823-3120-ЭО-ВК-ЧНД</t>
        </is>
      </c>
      <c r="Q29" s="6" t="inlineStr">
        <is>
          <t>Документы у меня есть, но RFI не проведен.</t>
        </is>
      </c>
      <c r="R29" s="11" t="inlineStr">
        <is>
          <t>RFI 1642 добавлен из сводной</t>
        </is>
      </c>
    </row>
    <row r="30" ht="39.6" customHeight="1" s="19">
      <c r="A30" s="6" t="inlineStr">
        <is>
          <t>3.24 БАП-1…</t>
        </is>
      </c>
      <c r="B30" s="6" t="inlineStr">
        <is>
          <t>Блок аварийного питания для LED-светильников до 200 Вт, 1 ч</t>
        </is>
      </c>
      <c r="C30" s="6" t="n"/>
      <c r="D30" s="6" t="inlineStr">
        <is>
          <t>шт</t>
        </is>
      </c>
      <c r="E30" s="6" t="n">
        <v>5</v>
      </c>
      <c r="F30" s="6" t="n"/>
      <c r="G30" s="6" t="n">
        <v>0</v>
      </c>
      <c r="H30" s="6" t="n"/>
      <c r="I30" s="6" t="inlineStr">
        <is>
          <t>1642</t>
        </is>
      </c>
      <c r="J30" s="5" t="inlineStr">
        <is>
          <t>823-3120-ЭО-ВК-ЧНД</t>
        </is>
      </c>
      <c r="K30" s="6" t="inlineStr">
        <is>
          <t>Подписан</t>
        </is>
      </c>
      <c r="L30" s="6">
        <f>IF(F30="",IF(J30="-","Нет зав. №, нет АоРПИ","Нет зав. №"),IF(G30&lt;E30,"Зав. № не все ("&amp;G30&amp;" из "&amp;E30&amp;")",IF(J30="-","Зав. № есть, АоРПИ нет",IF(K30="Подписан","ОК: зав. № + АоРПИ подписан","Зав. № есть, АоРПИ не подписан"))))</f>
        <v/>
      </c>
      <c r="M30" s="6" t="n"/>
      <c r="N30" s="6" t="n"/>
      <c r="O30" s="6" t="inlineStr">
        <is>
          <t>CHENGDA-MU-IC-1642</t>
        </is>
      </c>
      <c r="P30" s="6" t="inlineStr">
        <is>
          <t>823-3120-ЭО-ВК-ЧНД</t>
        </is>
      </c>
      <c r="Q30" s="6" t="inlineStr">
        <is>
          <t>Документы у меня есть, но RFI не проведен.</t>
        </is>
      </c>
      <c r="R30" s="11" t="inlineStr">
        <is>
          <t>Позиция добавлена из сводной 17.08.2026; RFI 1642 добавлен из сводной; АоРПИ 823-3120-ЭО добавлен из сводной</t>
        </is>
      </c>
    </row>
    <row r="31" ht="39.6" customHeight="1" s="19">
      <c r="A31" s="6" t="inlineStr">
        <is>
          <t>3.25 БАП-4</t>
        </is>
      </c>
      <c r="B31" s="6" t="inlineStr">
        <is>
          <t>Блок аварийного питания для LED-светильников до 120 Вт, 1 ч</t>
        </is>
      </c>
      <c r="C31" s="6" t="n"/>
      <c r="D31" s="6" t="inlineStr">
        <is>
          <t>шт</t>
        </is>
      </c>
      <c r="E31" s="6" t="n">
        <v>1</v>
      </c>
      <c r="F31" s="6" t="n"/>
      <c r="G31" s="6" t="n">
        <v>0</v>
      </c>
      <c r="H31" s="6" t="n"/>
      <c r="I31" s="6" t="inlineStr">
        <is>
          <t>1642</t>
        </is>
      </c>
      <c r="J31" s="5" t="inlineStr">
        <is>
          <t>823-3120-ЭО-ВК-ЧНД</t>
        </is>
      </c>
      <c r="K31" s="6" t="inlineStr">
        <is>
          <t>Подписан</t>
        </is>
      </c>
      <c r="L31" s="6">
        <f>IF(F31="",IF(J31="-","Нет зав. №, нет АоРПИ","Нет зав. №"),IF(G31&lt;E31,"Зав. № не все ("&amp;G31&amp;" из "&amp;E31&amp;")",IF(J31="-","Зав. № есть, АоРПИ нет",IF(K31="Подписан","ОК: зав. № + АоРПИ подписан","Зав. № есть, АоРПИ не подписан"))))</f>
        <v/>
      </c>
      <c r="M31" s="6" t="n"/>
      <c r="N31" s="6" t="n"/>
      <c r="O31" s="6" t="inlineStr">
        <is>
          <t>CHENGDA-MU-IC-1642</t>
        </is>
      </c>
      <c r="P31" s="6" t="inlineStr">
        <is>
          <t>823-3120-ЭО-ВК-ЧНД</t>
        </is>
      </c>
      <c r="Q31" s="6" t="inlineStr">
        <is>
          <t>Документы у меня есть, но RFI не проведен.</t>
        </is>
      </c>
      <c r="R31" s="11" t="inlineStr">
        <is>
          <t>Позиция добавлена из сводной 17.08.2026; RFI 1642 добавлен из сводной; АоРПИ 823-3120-ЭО добавлен из сводной</t>
        </is>
      </c>
    </row>
    <row r="32">
      <c r="D32" s="7" t="inlineStr">
        <is>
          <t>Итого</t>
        </is>
      </c>
      <c r="E32" s="7">
        <f>SUM(E6:E31)</f>
        <v/>
      </c>
      <c r="G32" s="7">
        <f>SUM(G6:G31)</f>
        <v/>
      </c>
    </row>
  </sheetData>
  <autoFilter ref="A5:R31"/>
  <conditionalFormatting sqref="F6:F31">
    <cfRule type="expression" priority="5" dxfId="1">
      <formula>$F6=""</formula>
    </cfRule>
  </conditionalFormatting>
  <conditionalFormatting sqref="L6:L31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J10" r:id="rId1"/>
    <hyperlink xmlns:r="http://schemas.openxmlformats.org/officeDocument/2006/relationships" ref="J14" r:id="rId2"/>
    <hyperlink xmlns:r="http://schemas.openxmlformats.org/officeDocument/2006/relationships" ref="J18" r:id="rId3"/>
    <hyperlink xmlns:r="http://schemas.openxmlformats.org/officeDocument/2006/relationships" ref="J20" r:id="rId4"/>
    <hyperlink xmlns:r="http://schemas.openxmlformats.org/officeDocument/2006/relationships" ref="J21" r:id="rId5"/>
    <hyperlink xmlns:r="http://schemas.openxmlformats.org/officeDocument/2006/relationships" ref="J23" r:id="rId6"/>
    <hyperlink xmlns:r="http://schemas.openxmlformats.org/officeDocument/2006/relationships" ref="J25" r:id="rId7"/>
    <hyperlink xmlns:r="http://schemas.openxmlformats.org/officeDocument/2006/relationships" ref="I28" r:id="rId8"/>
    <hyperlink xmlns:r="http://schemas.openxmlformats.org/officeDocument/2006/relationships" ref="J29" r:id="rId9"/>
    <hyperlink xmlns:r="http://schemas.openxmlformats.org/officeDocument/2006/relationships" ref="J30" r:id="rId10"/>
    <hyperlink xmlns:r="http://schemas.openxmlformats.org/officeDocument/2006/relationships" ref="J31" r:id="rId11"/>
  </hyperlink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3120, раздел СС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03-91-1200-01-СС.СО-001, ревизия 5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SW4051-1, SW4031-1</t>
        </is>
      </c>
      <c r="B6" s="6" t="inlineStr">
        <is>
          <t>Коммутатор L3 PoE 48 портов (в составе: коммутатор, 2 БП, сертификат)</t>
        </is>
      </c>
      <c r="C6" s="6" t="n"/>
      <c r="D6" s="6" t="inlineStr">
        <is>
          <t>компл.</t>
        </is>
      </c>
      <c r="E6" s="6" t="n">
        <v>2</v>
      </c>
      <c r="F6" s="6" t="n"/>
      <c r="G6" s="6" t="n">
        <v>0</v>
      </c>
      <c r="H6" s="6" t="n"/>
      <c r="I6" s="5" t="inlineStr">
        <is>
          <t>1828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Для тит. 4051/4031 (в составе СО 3120 СС)</t>
        </is>
      </c>
      <c r="N6" s="6" t="n"/>
      <c r="R6" s="16" t="inlineStr">
        <is>
          <t>В сводной 17.08.2026 позиции нет</t>
        </is>
      </c>
    </row>
    <row r="7">
      <c r="A7" s="6" t="inlineStr">
        <is>
          <t>3.5</t>
        </is>
      </c>
      <c r="B7" s="6" t="inlineStr">
        <is>
          <t>Мобильный АРМ 13,4"</t>
        </is>
      </c>
      <c r="C7" s="6" t="n"/>
      <c r="D7" s="6" t="inlineStr">
        <is>
          <t>шт</t>
        </is>
      </c>
      <c r="E7" s="6" t="n">
        <v>2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  <c r="R7" s="16" t="inlineStr">
        <is>
          <t>В сводной 17.08.2026 позиции нет</t>
        </is>
      </c>
    </row>
    <row r="8" ht="26.4" customHeight="1" s="19">
      <c r="A8" s="6" t="inlineStr">
        <is>
          <t>4.2</t>
        </is>
      </c>
      <c r="B8" s="6" t="inlineStr">
        <is>
          <t>Модуль расширения для телефонов QVP-300P/600P</t>
        </is>
      </c>
      <c r="C8" s="6" t="n"/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  <c r="R8" s="16" t="inlineStr">
        <is>
          <t>В сводной 17.08.2026 позиции нет</t>
        </is>
      </c>
    </row>
    <row r="9">
      <c r="D9" s="7" t="inlineStr">
        <is>
          <t>Итого</t>
        </is>
      </c>
      <c r="E9" s="7">
        <f>SUM(E6:E8)</f>
        <v/>
      </c>
      <c r="G9" s="7">
        <f>SUM(G6:G8)</f>
        <v/>
      </c>
    </row>
  </sheetData>
  <autoFilter ref="A5:R8"/>
  <conditionalFormatting sqref="F6:F8">
    <cfRule type="expression" priority="5" dxfId="1">
      <formula>$F6=""</formula>
    </cfRule>
  </conditionalFormatting>
  <conditionalFormatting sqref="L6:L8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</hyperlink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3121, раздел СС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03-91-1201-44-СС.СО-001, ревизия 5А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66" customHeight="1" s="19">
      <c r="A6" s="6" t="inlineStr">
        <is>
          <t>1.1</t>
        </is>
      </c>
      <c r="B6" s="6" t="inlineStr">
        <is>
          <t>Шкаф телекоммуникационный 42U 800х800</t>
        </is>
      </c>
      <c r="C6" s="6" t="inlineStr">
        <is>
          <t>ШТК-Э-42.8.8-13АА (ЦМО)</t>
        </is>
      </c>
      <c r="D6" s="6" t="inlineStr">
        <is>
          <t>шт</t>
        </is>
      </c>
      <c r="E6" s="6" t="n">
        <v>3</v>
      </c>
      <c r="F6" s="6" t="n"/>
      <c r="G6" s="6" t="n">
        <v>0</v>
      </c>
      <c r="H6" s="6" t="n"/>
      <c r="I6" s="5" t="inlineStr">
        <is>
          <t>1828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RFI 1828 (шкафы 42U — 3 шт) отклонён. В паспортах ЦМО (PO-219-TP-0001 1B, стр. 149–168) зав. № не проставлен — только штамп ОТК 03.09.2025; запросить у поставщика</t>
        </is>
      </c>
      <c r="N6" s="5" t="inlineStr">
        <is>
          <t>PO-219-TP-0001 1B, стр. 149–168 (скан): 4 паспорта ЦМО, в свидетельстве о приёмке зав. № не проставлен (штамп ОТК, упаковщик 03.09.2025)</t>
        </is>
      </c>
    </row>
    <row r="7" ht="52.8" customHeight="1" s="19">
      <c r="A7" s="6" t="inlineStr">
        <is>
          <t>2.1</t>
        </is>
      </c>
      <c r="B7" s="6" t="inlineStr">
        <is>
          <t>IP-телефон SIP-T30P</t>
        </is>
      </c>
      <c r="C7" s="6" t="inlineStr">
        <is>
          <t>Yealink SIP-T30P</t>
        </is>
      </c>
      <c r="D7" s="6" t="inlineStr">
        <is>
          <t>шт</t>
        </is>
      </c>
      <c r="E7" s="6" t="n">
        <v>13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inlineStr">
        <is>
          <t>Групповой паспорт Айпиматика 27.02.2026 (PO-219-TP-0001 1B, стр. 761–764) — зав. № нет; смотреть на шильдиках/коробках</t>
        </is>
      </c>
      <c r="N7" s="5" t="inlineStr">
        <is>
          <t>PO-219-TP-0001 1B, SIP-T30P стр. 761–764 (скан): групповой паспорт ООО «Айпиматика» от 27.02.2026, зав. № не указаны</t>
        </is>
      </c>
    </row>
    <row r="8" ht="39.6" customHeight="1" s="19">
      <c r="A8" s="6" t="inlineStr">
        <is>
          <t>3.1</t>
        </is>
      </c>
      <c r="B8" s="6" t="inlineStr">
        <is>
          <t>Коммутатор L3 PoE 48 портов (компл.)</t>
        </is>
      </c>
      <c r="C8" s="6" t="inlineStr">
        <is>
          <t>S4330-54TXP (Maipu)</t>
        </is>
      </c>
      <c r="D8" s="6" t="inlineStr">
        <is>
          <t>компл.</t>
        </is>
      </c>
      <c r="E8" s="6" t="n">
        <v>6</v>
      </c>
      <c r="F8" s="6" t="inlineStr">
        <is>
          <t>25006705000411; 25006705000414; 25006705000415; 25006705000416; 25006705000417; 25006705000421</t>
        </is>
      </c>
      <c r="G8" s="6" t="n">
        <v>6</v>
      </c>
      <c r="H8" s="6" t="inlineStr">
        <is>
          <t>PO-219-TP-0001 1B, стр. 437</t>
        </is>
      </c>
      <c r="I8" s="5" t="inlineStr">
        <is>
          <t>1576-1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6 зав. № из паспорта Maipu (PO-219, RFI 1576-1); привязку к титулу 3121 подтвердить при ВК</t>
        </is>
      </c>
      <c r="N8" s="5" t="inlineStr">
        <is>
          <t>PO-219-TP-0001 1B, стр. 436–439 (скан): 6 зав. № на стр. 437 (Equipment serial number)</t>
        </is>
      </c>
    </row>
    <row r="9" ht="26.4" customHeight="1" s="19">
      <c r="A9" s="6" t="inlineStr">
        <is>
          <t>3.6</t>
        </is>
      </c>
      <c r="B9" s="6" t="inlineStr">
        <is>
          <t>Цифровая АТС «РТУ МОА»</t>
        </is>
      </c>
      <c r="C9" s="6" t="n"/>
      <c r="D9" s="6" t="inlineStr">
        <is>
          <t>компл.</t>
        </is>
      </c>
      <c r="E9" s="6" t="n">
        <v>1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inlineStr">
        <is>
          <t>В PO-219-TP-0001 1B паспорта РТУ МОА нет (нет в оглавлении)</t>
        </is>
      </c>
      <c r="N9" s="6" t="n"/>
    </row>
    <row r="10" ht="39.6" customHeight="1" s="19">
      <c r="A10" s="6" t="inlineStr">
        <is>
          <t>3.9</t>
        </is>
      </c>
      <c r="B10" s="6" t="inlineStr">
        <is>
          <t>Блок коммутации и контроля линий, 8 линий</t>
        </is>
      </c>
      <c r="C10" s="6" t="inlineStr">
        <is>
          <t>LBC-8 (Линсис)</t>
        </is>
      </c>
      <c r="D10" s="6" t="inlineStr">
        <is>
          <t>шт</t>
        </is>
      </c>
      <c r="E10" s="6" t="n">
        <v>1</v>
      </c>
      <c r="F10" s="6" t="inlineStr">
        <is>
          <t>PO3384134123</t>
        </is>
      </c>
      <c r="G10" s="6" t="n">
        <v>1</v>
      </c>
      <c r="H10" s="6" t="inlineStr">
        <is>
          <t>PO-219-TP-0001 1B, стр. 388</t>
        </is>
      </c>
      <c r="I10" s="5" t="inlineStr">
        <is>
          <t>1828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inlineStr">
        <is>
          <t>Паспорт Линсис, ОТК 02.2026</t>
        </is>
      </c>
      <c r="N10" s="5" t="inlineStr">
        <is>
          <t>PO-219-TP-0001 1B, стр. 386–388 (скан): зав. № PO3384134123 на стр. 388 (ОТК 02.2026)</t>
        </is>
      </c>
    </row>
    <row r="11" ht="26.4" customHeight="1" s="19">
      <c r="A11" s="6" t="inlineStr">
        <is>
          <t>3.10</t>
        </is>
      </c>
      <c r="B11" s="6" t="inlineStr">
        <is>
          <t>Универсальный модуль подключений 16х1А</t>
        </is>
      </c>
      <c r="C11" s="6" t="inlineStr">
        <is>
          <t>UMZ16 (Линсис)</t>
        </is>
      </c>
      <c r="D11" s="6" t="inlineStr">
        <is>
          <t>шт</t>
        </is>
      </c>
      <c r="E11" s="6" t="n">
        <v>1</v>
      </c>
      <c r="F11" s="6" t="n"/>
      <c r="G11" s="6" t="n">
        <v>0</v>
      </c>
      <c r="H11" s="6" t="n"/>
      <c r="I11" s="5" t="inlineStr">
        <is>
          <t>1828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inlineStr">
        <is>
          <t>В паспорте (PO-219-TP-0001 1B, стр. 394) указано «без номера»</t>
        </is>
      </c>
      <c r="N11" s="5" t="inlineStr">
        <is>
          <t>PO-219-TP-0001 1B, стр. 392–394 (скан): «без номера» на стр. 394</t>
        </is>
      </c>
    </row>
    <row r="12" ht="39.6" customHeight="1" s="19">
      <c r="A12" s="6" t="inlineStr">
        <is>
          <t>3.12</t>
        </is>
      </c>
      <c r="B12" s="6" t="inlineStr">
        <is>
          <t>KVM-консоль</t>
        </is>
      </c>
      <c r="C12" s="6" t="inlineStr">
        <is>
          <t>ATEN CL3100NX</t>
        </is>
      </c>
      <c r="D12" s="6" t="inlineStr">
        <is>
          <t>шт</t>
        </is>
      </c>
      <c r="E12" s="6" t="n">
        <v>1</v>
      </c>
      <c r="F12" s="6" t="n"/>
      <c r="G12" s="6" t="n">
        <v>0</v>
      </c>
      <c r="H12" s="6" t="n"/>
      <c r="I12" s="5" t="inlineStr">
        <is>
          <t>1828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inlineStr">
        <is>
          <t>В PO-219-TP-0001 1B (стр. 25–32) только проспект ATEN, зав. № нет — смотреть на шильдике</t>
        </is>
      </c>
      <c r="N12" s="5" t="inlineStr">
        <is>
          <t>PO-219-TP-0001 1B, стр. 25–32: только проспект ATEN (EN/RU), паспорта с зав. № нет</t>
        </is>
      </c>
    </row>
    <row r="13" ht="26.4" customHeight="1" s="19">
      <c r="A13" s="6" t="inlineStr">
        <is>
          <t>3.13</t>
        </is>
      </c>
      <c r="B13" s="6" t="inlineStr">
        <is>
          <t>IP KVM-переключатель</t>
        </is>
      </c>
      <c r="C13" s="6" t="inlineStr">
        <is>
          <t>ATEN KN1108VA</t>
        </is>
      </c>
      <c r="D13" s="6" t="inlineStr">
        <is>
          <t>шт</t>
        </is>
      </c>
      <c r="E13" s="6" t="n">
        <v>1</v>
      </c>
      <c r="F13" s="6" t="n"/>
      <c r="G13" s="6" t="n">
        <v>0</v>
      </c>
      <c r="H13" s="6" t="n"/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5" t="inlineStr">
        <is>
          <t>PO-219-TP-0001 1B, стр. 32–43 (скан, зав. № в тексте нет)</t>
        </is>
      </c>
    </row>
    <row r="14" ht="26.4" customHeight="1" s="19">
      <c r="A14" s="6" t="inlineStr">
        <is>
          <t>3.15</t>
        </is>
      </c>
      <c r="B14" s="6" t="inlineStr">
        <is>
          <t>Маршрутизатор (компл.)</t>
        </is>
      </c>
      <c r="C14" s="6" t="inlineStr">
        <is>
          <t>NSR2900X-14D</t>
        </is>
      </c>
      <c r="D14" s="6" t="inlineStr">
        <is>
          <t>компл.</t>
        </is>
      </c>
      <c r="E14" s="6" t="n">
        <v>2</v>
      </c>
      <c r="F14" s="6" t="n"/>
      <c r="G14" s="6" t="n">
        <v>0</v>
      </c>
      <c r="H14" s="6" t="n"/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5" t="inlineStr">
        <is>
          <t>PO-219-TP-0001 1B, стр. 439–442 (скан, зав. № в тексте нет)</t>
        </is>
      </c>
    </row>
    <row r="15">
      <c r="A15" s="6" t="inlineStr">
        <is>
          <t>3.17</t>
        </is>
      </c>
      <c r="B15" s="6" t="inlineStr">
        <is>
          <t>Преобразователь интерфейсов С37.94/Е1</t>
        </is>
      </c>
      <c r="C15" s="6" t="n"/>
      <c r="D15" s="6" t="inlineStr">
        <is>
          <t>шт</t>
        </is>
      </c>
      <c r="E15" s="6" t="n">
        <v>2</v>
      </c>
      <c r="F15" s="6" t="n"/>
      <c r="G15" s="6" t="n">
        <v>0</v>
      </c>
      <c r="H15" s="6" t="n"/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</row>
    <row r="16" ht="26.4" customHeight="1" s="19">
      <c r="A16" s="6" t="inlineStr">
        <is>
          <t>4.14</t>
        </is>
      </c>
      <c r="B16" s="6" t="inlineStr">
        <is>
          <t>Громкоговоритель настенный 10/5 Вт</t>
        </is>
      </c>
      <c r="C16" s="6" t="inlineStr">
        <is>
          <t>LPA-10W3 (Линсис)</t>
        </is>
      </c>
      <c r="D16" s="6" t="inlineStr">
        <is>
          <t>шт</t>
        </is>
      </c>
      <c r="E16" s="6" t="n">
        <v>4</v>
      </c>
      <c r="F16" s="6" t="n"/>
      <c r="G16" s="6" t="n">
        <v>0</v>
      </c>
      <c r="H16" s="6" t="n"/>
      <c r="I16" s="5" t="inlineStr">
        <is>
          <t>1576-1</t>
        </is>
      </c>
      <c r="J16" s="6" t="inlineStr">
        <is>
          <t>-</t>
        </is>
      </c>
      <c r="K16" s="6" t="inlineStr">
        <is>
          <t>-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inlineStr">
        <is>
          <t>По RFI 1576-1 поставлено LPA-10W3 — 2 шт, LPA-6W — 41 шт (на все титулы)</t>
        </is>
      </c>
      <c r="N16" s="5" t="inlineStr">
        <is>
          <t>PO-219-TP-0001 1B, стр. 396–397 (скан, зав. № в тексте нет)</t>
        </is>
      </c>
    </row>
    <row r="17" ht="26.4" customHeight="1" s="19">
      <c r="A17" s="6" t="inlineStr">
        <is>
          <t>4.15</t>
        </is>
      </c>
      <c r="B17" s="6" t="inlineStr">
        <is>
          <t>Диспетчерский пульт</t>
        </is>
      </c>
      <c r="C17" s="6" t="inlineStr">
        <is>
          <t>LDP-E12-ВМ (Линсис)</t>
        </is>
      </c>
      <c r="D17" s="6" t="inlineStr">
        <is>
          <t>шт</t>
        </is>
      </c>
      <c r="E17" s="6" t="n">
        <v>1</v>
      </c>
      <c r="F17" s="6" t="n"/>
      <c r="G17" s="6" t="n">
        <v>0</v>
      </c>
      <c r="H17" s="6" t="n"/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5" t="inlineStr">
        <is>
          <t>PO-219-TP-0001 1B, стр. 414–416 (скан, зав. № в тексте нет)</t>
        </is>
      </c>
    </row>
    <row r="18" ht="26.4" customHeight="1" s="19">
      <c r="A18" s="6" t="inlineStr">
        <is>
          <t>5.1</t>
        </is>
      </c>
      <c r="B18" s="6" t="inlineStr">
        <is>
          <t>DECT-менеджер IP-DECT</t>
        </is>
      </c>
      <c r="C18" s="6" t="n"/>
      <c r="D18" s="6" t="inlineStr">
        <is>
          <t>шт</t>
        </is>
      </c>
      <c r="E18" s="6" t="n">
        <v>1</v>
      </c>
      <c r="F18" s="6" t="n"/>
      <c r="G18" s="6" t="n">
        <v>0</v>
      </c>
      <c r="H18" s="6" t="n"/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5" t="inlineStr">
        <is>
          <t>PO-219-TP-0001 1B, Gigaset N720 DM PRO стр. 278–281 (скан)</t>
        </is>
      </c>
    </row>
    <row r="19" ht="26.4" customHeight="1" s="19">
      <c r="A19" s="6" t="inlineStr">
        <is>
          <t>5.2</t>
        </is>
      </c>
      <c r="B19" s="6" t="inlineStr">
        <is>
          <t>Базовая станция IP-DECT</t>
        </is>
      </c>
      <c r="C19" s="6" t="n"/>
      <c r="D19" s="6" t="inlineStr">
        <is>
          <t>шт</t>
        </is>
      </c>
      <c r="E19" s="6" t="n">
        <v>14</v>
      </c>
      <c r="F19" s="6" t="n"/>
      <c r="G19" s="6" t="n">
        <v>0</v>
      </c>
      <c r="H19" s="6" t="n"/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5" t="inlineStr">
        <is>
          <t>PO-219-TP-0001 1B, Gigaset N720IP PRO стр. 268–271 (скан)</t>
        </is>
      </c>
    </row>
    <row r="20" ht="26.4" customHeight="1" s="19">
      <c r="A20" s="6" t="inlineStr">
        <is>
          <t>5.3</t>
        </is>
      </c>
      <c r="B20" s="6" t="inlineStr">
        <is>
          <t>Термошкаф для базовых DECT-станций IP55</t>
        </is>
      </c>
      <c r="C20" s="6" t="n"/>
      <c r="D20" s="6" t="inlineStr">
        <is>
          <t>шт</t>
        </is>
      </c>
      <c r="E20" s="6" t="n">
        <v>6</v>
      </c>
      <c r="F20" s="6" t="n"/>
      <c r="G20" s="6" t="n">
        <v>0</v>
      </c>
      <c r="H20" s="6" t="n"/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5" t="inlineStr">
        <is>
          <t>PO-219-TP-0001 1B, ТША511 стр. 276–277 (скан)</t>
        </is>
      </c>
    </row>
    <row r="21" ht="26.4" customHeight="1" s="19">
      <c r="A21" s="6" t="inlineStr">
        <is>
          <t>6.1</t>
        </is>
      </c>
      <c r="B21" s="6" t="inlineStr">
        <is>
          <t>Контроллер системы мониторинга телеком. стоек (СМСТ)</t>
        </is>
      </c>
      <c r="C21" s="6" t="n"/>
      <c r="D21" s="6" t="inlineStr">
        <is>
          <t>шт</t>
        </is>
      </c>
      <c r="E21" s="6" t="n">
        <v>1</v>
      </c>
      <c r="F21" s="6" t="n"/>
      <c r="G21" s="6" t="n">
        <v>0</v>
      </c>
      <c r="H21" s="6" t="n"/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>
        <f>IF(F21="",IF(J21="-","Нет зав. №, нет АоРПИ","Нет зав. №"),IF(G21&lt;E21,"Зав. № не все ("&amp;G21&amp;" из "&amp;E21&amp;")",IF(J21="-","Зав. № есть, АоРПИ нет",IF(K21="Подписан","ОК: зав. № + АоРПИ подписан","Зав. № есть, АоРПИ не подписан"))))</f>
        <v/>
      </c>
      <c r="M21" s="6" t="n"/>
      <c r="N21" s="6" t="n"/>
    </row>
    <row r="22">
      <c r="D22" s="7" t="inlineStr">
        <is>
          <t>Итого</t>
        </is>
      </c>
      <c r="E22" s="7">
        <f>SUM(E6:E21)</f>
        <v/>
      </c>
      <c r="G22" s="7">
        <f>SUM(G6:G21)</f>
        <v/>
      </c>
    </row>
  </sheetData>
  <autoFilter ref="A5:R21"/>
  <conditionalFormatting sqref="F6:F21">
    <cfRule type="expression" priority="5" dxfId="1">
      <formula>$F6=""</formula>
    </cfRule>
  </conditionalFormatting>
  <conditionalFormatting sqref="L6:L21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I8" r:id="rId4"/>
    <hyperlink xmlns:r="http://schemas.openxmlformats.org/officeDocument/2006/relationships" ref="N8" r:id="rId5"/>
    <hyperlink xmlns:r="http://schemas.openxmlformats.org/officeDocument/2006/relationships" ref="I10" r:id="rId6"/>
    <hyperlink xmlns:r="http://schemas.openxmlformats.org/officeDocument/2006/relationships" ref="N10" r:id="rId7"/>
    <hyperlink xmlns:r="http://schemas.openxmlformats.org/officeDocument/2006/relationships" ref="I11" r:id="rId8"/>
    <hyperlink xmlns:r="http://schemas.openxmlformats.org/officeDocument/2006/relationships" ref="N11" r:id="rId9"/>
    <hyperlink xmlns:r="http://schemas.openxmlformats.org/officeDocument/2006/relationships" ref="I12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I16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</hyperlink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3121, раздел ОС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03-91-1201-44-ОС.СО-001, ревизия 5 (.xlsx)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66" customHeight="1" s="19">
      <c r="A6" s="6" t="inlineStr">
        <is>
          <t>1.1</t>
        </is>
      </c>
      <c r="B6" s="6" t="inlineStr">
        <is>
          <t>Шкаф телекоммуникационный 42U 19"</t>
        </is>
      </c>
      <c r="C6" s="6" t="inlineStr">
        <is>
          <t>ШТК-Э-42.8.8-13АА (ЦМО)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5" t="inlineStr">
        <is>
          <t>1828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5" t="inlineStr">
        <is>
          <t>PO-219-TP-0001 1B, стр. 149–168 (скан): 4 паспорта ЦМО, в свидетельстве о приёмке зав. № не проставлен (штамп ОТК, упаковщик 03.09.2025)</t>
        </is>
      </c>
    </row>
    <row r="7" ht="26.4" customHeight="1" s="19">
      <c r="A7" s="6" t="inlineStr">
        <is>
          <t>1.7</t>
        </is>
      </c>
      <c r="B7" s="6" t="inlineStr">
        <is>
          <t>Коммутатор 24×1G + 4×10G SFP+, PoE</t>
        </is>
      </c>
      <c r="C7" s="6" t="inlineStr">
        <is>
          <t>S4330-30TXP (Maipu)</t>
        </is>
      </c>
      <c r="D7" s="6" t="inlineStr">
        <is>
          <t>шт</t>
        </is>
      </c>
      <c r="E7" s="6" t="n">
        <v>1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5" t="inlineStr">
        <is>
          <t>PO-219-TP-0001 1B, стр. 419–422 (скан, зав. № в тексте нет)</t>
        </is>
      </c>
    </row>
    <row r="8" ht="26.4" customHeight="1" s="19">
      <c r="A8" s="6" t="inlineStr">
        <is>
          <t>1.11</t>
        </is>
      </c>
      <c r="B8" s="6" t="inlineStr">
        <is>
          <t>Батарейный блок ИБП</t>
        </is>
      </c>
      <c r="C8" s="6" t="inlineStr">
        <is>
          <t>BMRT-72-18 (Штиль)</t>
        </is>
      </c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5" t="inlineStr">
        <is>
          <t>PO-219-TP-0001 1B, стр. 630–632 (скан, зав. № в тексте нет)</t>
        </is>
      </c>
    </row>
    <row r="9" ht="26.4" customHeight="1" s="19">
      <c r="A9" s="6" t="inlineStr">
        <is>
          <t>1.14 3121-VC-009…017</t>
        </is>
      </c>
      <c r="B9" s="6" t="inlineStr">
        <is>
          <t>IP-видеокамера уличная вариофокальная</t>
        </is>
      </c>
      <c r="C9" s="6" t="inlineStr">
        <is>
          <t>IPTS-IPBM5002 (IPTRONIC)</t>
        </is>
      </c>
      <c r="D9" s="6" t="inlineStr">
        <is>
          <t>шт</t>
        </is>
      </c>
      <c r="E9" s="6" t="n">
        <v>9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5" t="inlineStr">
        <is>
          <t>PO-219-TP-0001 1B, стр. 296–299 (скан, зав. № в тексте нет)</t>
        </is>
      </c>
    </row>
    <row r="10" ht="26.4" customHeight="1" s="19">
      <c r="A10" s="6" t="inlineStr">
        <is>
          <t>1.15 3121-VC-001…008</t>
        </is>
      </c>
      <c r="B10" s="6" t="inlineStr">
        <is>
          <t>IP-видеокамера уличная вариофокальная</t>
        </is>
      </c>
      <c r="C10" s="6" t="inlineStr">
        <is>
          <t>IPTS-IPBM5035 (IPTRONIC)</t>
        </is>
      </c>
      <c r="D10" s="6" t="inlineStr">
        <is>
          <t>шт</t>
        </is>
      </c>
      <c r="E10" s="6" t="n">
        <v>8</v>
      </c>
      <c r="F10" s="6" t="n"/>
      <c r="G10" s="6" t="n">
        <v>0</v>
      </c>
      <c r="H10" s="6" t="n"/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5" t="inlineStr">
        <is>
          <t>PO-219-TP-0001 1B, стр. 300–304 (скан, зав. № в тексте нет)</t>
        </is>
      </c>
    </row>
    <row r="11" ht="26.4" customHeight="1" s="19">
      <c r="A11" s="6" t="inlineStr">
        <is>
          <t>4.2</t>
        </is>
      </c>
      <c r="B11" s="6" t="inlineStr">
        <is>
          <t>Преобразователь интерфейса</t>
        </is>
      </c>
      <c r="C11" s="6" t="inlineStr">
        <is>
          <t>С2000-Ethernet (Болид)</t>
        </is>
      </c>
      <c r="D11" s="6" t="inlineStr">
        <is>
          <t>шт</t>
        </is>
      </c>
      <c r="E11" s="6" t="n">
        <v>1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5" t="inlineStr">
        <is>
          <t>PO-219-TP-0001 1B, стр. 73–84 (скан, зав. № в тексте нет)</t>
        </is>
      </c>
    </row>
    <row r="12" ht="26.4" customHeight="1" s="19">
      <c r="A12" s="6" t="inlineStr">
        <is>
          <t>4.3</t>
        </is>
      </c>
      <c r="B12" s="6" t="inlineStr">
        <is>
          <t>Резервированный источник питания 12 В</t>
        </is>
      </c>
      <c r="C12" s="6" t="inlineStr">
        <is>
          <t>РИП-12-3/17П1-Р-RS (Болид)</t>
        </is>
      </c>
      <c r="D12" s="6" t="inlineStr">
        <is>
          <t>шт</t>
        </is>
      </c>
      <c r="E12" s="6" t="n">
        <v>1</v>
      </c>
      <c r="F12" s="6" t="n"/>
      <c r="G12" s="6" t="n">
        <v>0</v>
      </c>
      <c r="H12" s="6" t="n"/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5" t="inlineStr">
        <is>
          <t>PO-219-TP-0001 1B, стр. 67–72 (скан, зав. № в тексте нет)</t>
        </is>
      </c>
    </row>
    <row r="13" ht="26.4" customHeight="1" s="19">
      <c r="A13" s="6" t="inlineStr">
        <is>
          <t>4.4</t>
        </is>
      </c>
      <c r="B13" s="6" t="inlineStr">
        <is>
          <t>АКБ 12 В 17 Ач</t>
        </is>
      </c>
      <c r="C13" s="6" t="inlineStr">
        <is>
          <t>DTM1217 (Delta)</t>
        </is>
      </c>
      <c r="D13" s="6" t="inlineStr">
        <is>
          <t>шт</t>
        </is>
      </c>
      <c r="E13" s="6" t="n">
        <v>2</v>
      </c>
      <c r="F13" s="6" t="n"/>
      <c r="G13" s="6" t="n">
        <v>0</v>
      </c>
      <c r="H13" s="6" t="n"/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5" t="inlineStr">
        <is>
          <t>PO-219-TP-0001 1B, стр. 237–238 (скан, зав. № в тексте нет)</t>
        </is>
      </c>
    </row>
    <row r="14" ht="26.4" customHeight="1" s="19">
      <c r="A14" s="6" t="inlineStr">
        <is>
          <t>4.5</t>
        </is>
      </c>
      <c r="B14" s="6" t="inlineStr">
        <is>
          <t>Извещатель охранный магнитоконтактный адресный</t>
        </is>
      </c>
      <c r="C14" s="6" t="inlineStr">
        <is>
          <t>С2000-СМК исп.06</t>
        </is>
      </c>
      <c r="D14" s="6" t="inlineStr">
        <is>
          <t>шт</t>
        </is>
      </c>
      <c r="E14" s="6" t="n">
        <v>15</v>
      </c>
      <c r="F14" s="6" t="n"/>
      <c r="G14" s="6" t="n">
        <v>0</v>
      </c>
      <c r="H14" s="6" t="n"/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5" t="inlineStr">
        <is>
          <t>PO-219-TP-0001 1B, стр. 85–87 (скан, зав. № в тексте нет)</t>
        </is>
      </c>
    </row>
    <row r="15" ht="26.4" customHeight="1" s="19">
      <c r="A15" s="6" t="inlineStr">
        <is>
          <t>4.6</t>
        </is>
      </c>
      <c r="B15" s="6" t="inlineStr">
        <is>
          <t>Адресный расширитель</t>
        </is>
      </c>
      <c r="C15" s="6" t="inlineStr">
        <is>
          <t>С2000-АР1 исп.01</t>
        </is>
      </c>
      <c r="D15" s="6" t="inlineStr">
        <is>
          <t>шт</t>
        </is>
      </c>
      <c r="E15" s="6" t="n">
        <v>15</v>
      </c>
      <c r="F15" s="6" t="n"/>
      <c r="G15" s="6" t="n">
        <v>0</v>
      </c>
      <c r="H15" s="6" t="n"/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5" t="inlineStr">
        <is>
          <t>PO-219-TP-0001 1B, стр. 90–95 (скан, зав. № в тексте нет)</t>
        </is>
      </c>
    </row>
    <row r="16" ht="26.4" customHeight="1" s="19">
      <c r="A16" s="6" t="inlineStr">
        <is>
          <t>4.7</t>
        </is>
      </c>
      <c r="B16" s="6" t="inlineStr">
        <is>
          <t>Извещатель охранный объёмный ИК адресный</t>
        </is>
      </c>
      <c r="C16" s="6" t="inlineStr">
        <is>
          <t>С2000-ИК исп.02</t>
        </is>
      </c>
      <c r="D16" s="6" t="inlineStr">
        <is>
          <t>шт</t>
        </is>
      </c>
      <c r="E16" s="6" t="n">
        <v>16</v>
      </c>
      <c r="F16" s="6" t="n"/>
      <c r="G16" s="6" t="n">
        <v>0</v>
      </c>
      <c r="H16" s="6" t="n"/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5" t="inlineStr">
        <is>
          <t>PO-219-TP-0001 1B, стр. 88–89 (скан, зав. № в тексте нет)</t>
        </is>
      </c>
    </row>
    <row r="17" ht="26.4" customHeight="1" s="19">
      <c r="A17" s="6" t="inlineStr">
        <is>
          <t>4.8</t>
        </is>
      </c>
      <c r="B17" s="6" t="inlineStr">
        <is>
          <t>Тревожная кнопка</t>
        </is>
      </c>
      <c r="C17" s="6" t="inlineStr">
        <is>
          <t>С2000-КТ</t>
        </is>
      </c>
      <c r="D17" s="6" t="inlineStr">
        <is>
          <t>шт</t>
        </is>
      </c>
      <c r="E17" s="6" t="n">
        <v>1</v>
      </c>
      <c r="F17" s="6" t="n"/>
      <c r="G17" s="6" t="n">
        <v>0</v>
      </c>
      <c r="H17" s="6" t="n"/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5" t="inlineStr">
        <is>
          <t>PO-219-TP-0001 1B, стр. 96–101 (скан, зав. № в тексте нет)</t>
        </is>
      </c>
    </row>
    <row r="18" ht="26.4" customHeight="1" s="19">
      <c r="A18" s="6" t="inlineStr">
        <is>
          <t>4.9</t>
        </is>
      </c>
      <c r="B18" s="6" t="inlineStr">
        <is>
          <t>Оповещатель свето-звуковой</t>
        </is>
      </c>
      <c r="C18" s="6" t="inlineStr">
        <is>
          <t>ОРБИТА ОП СЗ</t>
        </is>
      </c>
      <c r="D18" s="6" t="inlineStr">
        <is>
          <t>шт</t>
        </is>
      </c>
      <c r="E18" s="6" t="n">
        <v>1</v>
      </c>
      <c r="F18" s="6" t="n"/>
      <c r="G18" s="6" t="n">
        <v>0</v>
      </c>
      <c r="H18" s="6" t="n"/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5" t="inlineStr">
        <is>
          <t>PO-219-TP-0001 1B, стр. 359–361 (скан, зав. № в тексте нет)</t>
        </is>
      </c>
    </row>
    <row r="19">
      <c r="D19" s="7" t="inlineStr">
        <is>
          <t>Итого</t>
        </is>
      </c>
      <c r="E19" s="7">
        <f>SUM(E6:E18)</f>
        <v/>
      </c>
      <c r="G19" s="7">
        <f>SUM(G6:G18)</f>
        <v/>
      </c>
    </row>
  </sheetData>
  <autoFilter ref="A5:R18"/>
  <conditionalFormatting sqref="F6:F18">
    <cfRule type="expression" priority="5" dxfId="1">
      <formula>$F6=""</formula>
    </cfRule>
  </conditionalFormatting>
  <conditionalFormatting sqref="L6:L18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I6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</hyperlink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3121, раздел СКУД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03-91-1201-44-СКУД.СО-001, ревизия 5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Контроллер сетевой (8 Wiegand)</t>
        </is>
      </c>
      <c r="C6" s="6" t="inlineStr">
        <is>
          <t>AAM-LAN-8W/2RS</t>
        </is>
      </c>
      <c r="D6" s="6" t="inlineStr">
        <is>
          <t>шт</t>
        </is>
      </c>
      <c r="E6" s="6" t="n">
        <v>2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5" t="inlineStr">
        <is>
          <t>PO-219-TP-0001 1B, стр. 10–15 (скан, зав. № в тексте нет)</t>
        </is>
      </c>
    </row>
    <row r="7" ht="26.4" customHeight="1" s="19">
      <c r="A7" s="6" t="inlineStr">
        <is>
          <t>1.3</t>
        </is>
      </c>
      <c r="B7" s="6" t="inlineStr">
        <is>
          <t>Источник вторичного электропитания 12 В 6 А</t>
        </is>
      </c>
      <c r="C7" s="6" t="inlineStr">
        <is>
          <t>РИП-12-6/80М3-Р-RS (Болид)</t>
        </is>
      </c>
      <c r="D7" s="6" t="inlineStr">
        <is>
          <t>шт</t>
        </is>
      </c>
      <c r="E7" s="6" t="n">
        <v>1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5" t="inlineStr">
        <is>
          <t>PO-219-TP-0001 1B, стр. 111–120 (скан, зав. № в тексте нет)</t>
        </is>
      </c>
    </row>
    <row r="8" ht="26.4" customHeight="1" s="19">
      <c r="A8" s="6" t="inlineStr">
        <is>
          <t>1.2, 1.4</t>
        </is>
      </c>
      <c r="B8" s="6" t="inlineStr">
        <is>
          <t>АКБ 12 В 4,5 Ач / 40 Ач</t>
        </is>
      </c>
      <c r="C8" s="6" t="inlineStr">
        <is>
          <t>DTM12045 / DTM1240 L (Delta)</t>
        </is>
      </c>
      <c r="D8" s="6" t="inlineStr">
        <is>
          <t>шт</t>
        </is>
      </c>
      <c r="E8" s="6" t="n">
        <v>4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по 2 шт каждого</t>
        </is>
      </c>
      <c r="N8" s="5" t="inlineStr">
        <is>
          <t>PO-219-TP-0001 1B, стр. 239–240 (скан, зав. № в тексте нет)</t>
        </is>
      </c>
    </row>
    <row r="9" ht="26.4" customHeight="1" s="19">
      <c r="A9" s="6" t="inlineStr">
        <is>
          <t>1.5</t>
        </is>
      </c>
      <c r="B9" s="6" t="inlineStr">
        <is>
          <t>Считыватель MIFARE</t>
        </is>
      </c>
      <c r="C9" s="6" t="inlineStr">
        <is>
          <t>ST-PR042MF (Smartec)</t>
        </is>
      </c>
      <c r="D9" s="6" t="inlineStr">
        <is>
          <t>шт</t>
        </is>
      </c>
      <c r="E9" s="6" t="n">
        <v>12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5" t="inlineStr">
        <is>
          <t>PO-219-TP-0001 1B, стр. 586 (скан, зав. № в тексте нет)</t>
        </is>
      </c>
    </row>
    <row r="10" ht="26.4" customHeight="1" s="19">
      <c r="A10" s="6" t="inlineStr">
        <is>
          <t>1.6</t>
        </is>
      </c>
      <c r="B10" s="6" t="inlineStr">
        <is>
          <t>Извещатель магнитоконтактный</t>
        </is>
      </c>
      <c r="C10" s="6" t="inlineStr">
        <is>
          <t>ST-DM130NC-SL</t>
        </is>
      </c>
      <c r="D10" s="6" t="inlineStr">
        <is>
          <t>шт</t>
        </is>
      </c>
      <c r="E10" s="6" t="n">
        <v>12</v>
      </c>
      <c r="F10" s="6" t="n"/>
      <c r="G10" s="6" t="n">
        <v>0</v>
      </c>
      <c r="H10" s="6" t="n"/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5" t="inlineStr">
        <is>
          <t>PO-219-TP-0001 1B, стр. 587 (скан, зав. № в тексте нет)</t>
        </is>
      </c>
    </row>
    <row r="11" ht="26.4" customHeight="1" s="19">
      <c r="A11" s="6" t="inlineStr">
        <is>
          <t>1.7</t>
        </is>
      </c>
      <c r="B11" s="6" t="inlineStr">
        <is>
          <t>Кнопка выхода</t>
        </is>
      </c>
      <c r="C11" s="6" t="inlineStr">
        <is>
          <t>ST-EX241L</t>
        </is>
      </c>
      <c r="D11" s="6" t="inlineStr">
        <is>
          <t>шт</t>
        </is>
      </c>
      <c r="E11" s="6" t="n">
        <v>12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5" t="inlineStr">
        <is>
          <t>PO-219-TP-0001 1B, стр. 588–592 (скан, зав. № в тексте нет)</t>
        </is>
      </c>
    </row>
    <row r="12" ht="26.4" customHeight="1" s="19">
      <c r="A12" s="6" t="inlineStr">
        <is>
          <t>1.8</t>
        </is>
      </c>
      <c r="B12" s="6" t="inlineStr">
        <is>
          <t>Электромагнитный замок 250 кг</t>
        </is>
      </c>
      <c r="C12" s="6" t="inlineStr">
        <is>
          <t>ST-EL250ML</t>
        </is>
      </c>
      <c r="D12" s="6" t="inlineStr">
        <is>
          <t>шт</t>
        </is>
      </c>
      <c r="E12" s="6" t="n">
        <v>12</v>
      </c>
      <c r="F12" s="6" t="n"/>
      <c r="G12" s="6" t="n">
        <v>0</v>
      </c>
      <c r="H12" s="6" t="n"/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5" t="inlineStr">
        <is>
          <t>PO-219-TP-0001 1B, стр. 593 (скан, зав. № в тексте нет)</t>
        </is>
      </c>
    </row>
    <row r="13" ht="26.4" customHeight="1" s="19">
      <c r="A13" s="6" t="inlineStr">
        <is>
          <t>1.9</t>
        </is>
      </c>
      <c r="B13" s="6" t="inlineStr">
        <is>
          <t>Дверной доводчик</t>
        </is>
      </c>
      <c r="C13" s="6" t="inlineStr">
        <is>
          <t>ST-DC036BCDA-SL</t>
        </is>
      </c>
      <c r="D13" s="6" t="inlineStr">
        <is>
          <t>шт</t>
        </is>
      </c>
      <c r="E13" s="6" t="n">
        <v>12</v>
      </c>
      <c r="F13" s="6" t="n"/>
      <c r="G13" s="6" t="n">
        <v>0</v>
      </c>
      <c r="H13" s="6" t="n"/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5" t="inlineStr">
        <is>
          <t>PO-219-TP-0001 1B, стр. 595 (скан, зав. № в тексте нет)</t>
        </is>
      </c>
    </row>
    <row r="14" ht="26.4" customHeight="1" s="19">
      <c r="A14" s="6" t="inlineStr">
        <is>
          <t>1.10</t>
        </is>
      </c>
      <c r="B14" s="6" t="inlineStr">
        <is>
          <t>Устройство дистанционного пуска «Аварийный выход»</t>
        </is>
      </c>
      <c r="C14" s="6" t="inlineStr">
        <is>
          <t>ST-ER115</t>
        </is>
      </c>
      <c r="D14" s="6" t="inlineStr">
        <is>
          <t>шт</t>
        </is>
      </c>
      <c r="E14" s="6" t="n">
        <v>12</v>
      </c>
      <c r="F14" s="6" t="n"/>
      <c r="G14" s="6" t="n">
        <v>0</v>
      </c>
      <c r="H14" s="6" t="n"/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5" t="inlineStr">
        <is>
          <t>PO-219-TP-0001 1B, стр. 596 (скан, зав. № в тексте нет)</t>
        </is>
      </c>
    </row>
    <row r="15">
      <c r="A15" s="6" t="inlineStr">
        <is>
          <t>1.11</t>
        </is>
      </c>
      <c r="B15" s="6" t="inlineStr">
        <is>
          <t>Модуль релейный (АЛС)</t>
        </is>
      </c>
      <c r="C15" s="6" t="n"/>
      <c r="D15" s="6" t="inlineStr">
        <is>
          <t>шт</t>
        </is>
      </c>
      <c r="E15" s="6" t="n">
        <v>12</v>
      </c>
      <c r="F15" s="6" t="n"/>
      <c r="G15" s="6" t="n">
        <v>0</v>
      </c>
      <c r="H15" s="6" t="n"/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inlineStr">
        <is>
          <t>Предусмотрен в 03-91-1201-01-ПС</t>
        </is>
      </c>
      <c r="N15" s="6" t="n"/>
    </row>
    <row r="16">
      <c r="D16" s="7" t="inlineStr">
        <is>
          <t>Итого</t>
        </is>
      </c>
      <c r="E16" s="7">
        <f>SUM(E6:E15)</f>
        <v/>
      </c>
      <c r="G16" s="7">
        <f>SUM(G6:G15)</f>
        <v/>
      </c>
    </row>
  </sheetData>
  <autoFilter ref="A5:R15"/>
  <conditionalFormatting sqref="F6:F15">
    <cfRule type="expression" priority="5" dxfId="1">
      <formula>$F6=""</formula>
    </cfRule>
  </conditionalFormatting>
  <conditionalFormatting sqref="L6:L15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</hyperlink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3121, раздел ПС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03-91-1201-44-ПС.СО-001, ревизия 4B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Прибор приёмно-контрольный охранно-пожарный</t>
        </is>
      </c>
      <c r="C6" s="6" t="inlineStr">
        <is>
          <t>R3-Рубеж-2ОП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5" t="inlineStr">
        <is>
          <t>782-3121-ПС-ВК-ЧНД</t>
        </is>
      </c>
      <c r="K6" s="6" t="inlineStr">
        <is>
          <t>Не 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АоРПИ 782 без зав. №; в 2.Open не загружен (лежит в Базе данных Альфа-пром)</t>
        </is>
      </c>
      <c r="N6" s="6" t="n"/>
    </row>
    <row r="7">
      <c r="A7" s="6" t="inlineStr">
        <is>
          <t>1.2</t>
        </is>
      </c>
      <c r="B7" s="6" t="inlineStr">
        <is>
          <t>Блок индикации и управления</t>
        </is>
      </c>
      <c r="C7" s="6" t="inlineStr">
        <is>
          <t>Рубеж-БИУ</t>
        </is>
      </c>
      <c r="D7" s="6" t="inlineStr">
        <is>
          <t>шт</t>
        </is>
      </c>
      <c r="E7" s="6" t="n">
        <v>1</v>
      </c>
      <c r="F7" s="6" t="n"/>
      <c r="G7" s="6" t="n">
        <v>0</v>
      </c>
      <c r="H7" s="6" t="n"/>
      <c r="I7" s="6" t="inlineStr">
        <is>
          <t>-</t>
        </is>
      </c>
      <c r="J7" s="5" t="inlineStr">
        <is>
          <t>782-3121-ПС-ВК-ЧНД</t>
        </is>
      </c>
      <c r="K7" s="6" t="inlineStr">
        <is>
          <t>Не подписан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</row>
    <row r="8">
      <c r="A8" s="6" t="inlineStr">
        <is>
          <t>1.3</t>
        </is>
      </c>
      <c r="B8" s="6" t="inlineStr">
        <is>
          <t>Модуль изолятор АЛС</t>
        </is>
      </c>
      <c r="C8" s="6" t="inlineStr">
        <is>
          <t>ИЗ-1-R3</t>
        </is>
      </c>
      <c r="D8" s="6" t="inlineStr">
        <is>
          <t>шт</t>
        </is>
      </c>
      <c r="E8" s="6" t="n">
        <v>14</v>
      </c>
      <c r="F8" s="6" t="n"/>
      <c r="G8" s="6" t="n">
        <v>0</v>
      </c>
      <c r="H8" s="6" t="n"/>
      <c r="I8" s="6" t="inlineStr">
        <is>
          <t>-</t>
        </is>
      </c>
      <c r="J8" s="5" t="inlineStr">
        <is>
          <t>782-3121-ПС-ВК-ЧНД</t>
        </is>
      </c>
      <c r="K8" s="6" t="inlineStr">
        <is>
          <t>Не подписан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</row>
    <row r="9">
      <c r="A9" s="6" t="inlineStr">
        <is>
          <t>1.4</t>
        </is>
      </c>
      <c r="B9" s="6" t="inlineStr">
        <is>
          <t>ИВЭПР 24 В 3,5 А</t>
        </is>
      </c>
      <c r="C9" s="6" t="inlineStr">
        <is>
          <t>ИВЭПР 24/3,5 2х12-Р БР</t>
        </is>
      </c>
      <c r="D9" s="6" t="inlineStr">
        <is>
          <t>шт</t>
        </is>
      </c>
      <c r="E9" s="6" t="n">
        <v>1</v>
      </c>
      <c r="F9" s="6" t="n"/>
      <c r="G9" s="6" t="n">
        <v>0</v>
      </c>
      <c r="H9" s="6" t="n"/>
      <c r="I9" s="6" t="inlineStr">
        <is>
          <t>-</t>
        </is>
      </c>
      <c r="J9" s="5" t="inlineStr">
        <is>
          <t>782-3121-ПС-ВК-ЧНД</t>
        </is>
      </c>
      <c r="K9" s="6" t="inlineStr">
        <is>
          <t>Не подписан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</row>
    <row r="10">
      <c r="A10" s="6" t="inlineStr">
        <is>
          <t>1.5</t>
        </is>
      </c>
      <c r="B10" s="6" t="inlineStr">
        <is>
          <t>АКБ 12 В 12 Ач</t>
        </is>
      </c>
      <c r="C10" s="6" t="inlineStr">
        <is>
          <t>DT 1212</t>
        </is>
      </c>
      <c r="D10" s="6" t="inlineStr">
        <is>
          <t>шт</t>
        </is>
      </c>
      <c r="E10" s="6" t="n">
        <v>2</v>
      </c>
      <c r="F10" s="6" t="n"/>
      <c r="G10" s="6" t="n">
        <v>0</v>
      </c>
      <c r="H10" s="6" t="n"/>
      <c r="I10" s="6" t="inlineStr">
        <is>
          <t>-</t>
        </is>
      </c>
      <c r="J10" s="5" t="inlineStr">
        <is>
          <t>782-3121-ПС-ВК-ЧНД</t>
        </is>
      </c>
      <c r="K10" s="6" t="inlineStr">
        <is>
          <t>Не подписан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</row>
    <row r="11">
      <c r="A11" s="6" t="inlineStr">
        <is>
          <t>1.6</t>
        </is>
      </c>
      <c r="B11" s="6" t="inlineStr">
        <is>
          <t>Извещатель пожарный дымовой адресный</t>
        </is>
      </c>
      <c r="C11" s="6" t="inlineStr">
        <is>
          <t>ИП 212-164-R3</t>
        </is>
      </c>
      <c r="D11" s="6" t="inlineStr">
        <is>
          <t>шт</t>
        </is>
      </c>
      <c r="E11" s="6" t="n">
        <v>54</v>
      </c>
      <c r="F11" s="6" t="n"/>
      <c r="G11" s="6" t="n">
        <v>0</v>
      </c>
      <c r="H11" s="6" t="n"/>
      <c r="I11" s="6" t="inlineStr">
        <is>
          <t>-</t>
        </is>
      </c>
      <c r="J11" s="5" t="inlineStr">
        <is>
          <t>782-3121-ПС-ВК-ЧНД</t>
        </is>
      </c>
      <c r="K11" s="6" t="inlineStr">
        <is>
          <t>Не подписан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</row>
    <row r="12">
      <c r="A12" s="6" t="inlineStr">
        <is>
          <t>1.7</t>
        </is>
      </c>
      <c r="B12" s="6" t="inlineStr">
        <is>
          <t>Извещатель пожарный пламени адресный</t>
        </is>
      </c>
      <c r="C12" s="6" t="inlineStr">
        <is>
          <t>ТЮЛЬПАН 64/2-R3</t>
        </is>
      </c>
      <c r="D12" s="6" t="inlineStr">
        <is>
          <t>шт</t>
        </is>
      </c>
      <c r="E12" s="6" t="n">
        <v>17</v>
      </c>
      <c r="F12" s="6" t="n"/>
      <c r="G12" s="6" t="n">
        <v>0</v>
      </c>
      <c r="H12" s="6" t="n"/>
      <c r="I12" s="6" t="inlineStr">
        <is>
          <t>-</t>
        </is>
      </c>
      <c r="J12" s="5" t="inlineStr">
        <is>
          <t>782-3121-ПС-ВК-ЧНД</t>
        </is>
      </c>
      <c r="K12" s="6" t="inlineStr">
        <is>
          <t>Не подписан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</row>
    <row r="13">
      <c r="A13" s="6" t="inlineStr">
        <is>
          <t>1.8</t>
        </is>
      </c>
      <c r="B13" s="6" t="inlineStr">
        <is>
          <t>Извещатель пожарный ручной адресный</t>
        </is>
      </c>
      <c r="C13" s="6" t="inlineStr">
        <is>
          <t>ИПР 513-11-А-R3</t>
        </is>
      </c>
      <c r="D13" s="6" t="inlineStr">
        <is>
          <t>шт</t>
        </is>
      </c>
      <c r="E13" s="6" t="n">
        <v>7</v>
      </c>
      <c r="F13" s="6" t="n"/>
      <c r="G13" s="6" t="n">
        <v>0</v>
      </c>
      <c r="H13" s="6" t="n"/>
      <c r="I13" s="6" t="inlineStr">
        <is>
          <t>-</t>
        </is>
      </c>
      <c r="J13" s="5" t="inlineStr">
        <is>
          <t>782-3121-ПС-ВК-ЧНД</t>
        </is>
      </c>
      <c r="K13" s="6" t="inlineStr">
        <is>
          <t>Не подписан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</row>
    <row r="14">
      <c r="A14" s="6" t="inlineStr">
        <is>
          <t>1.9</t>
        </is>
      </c>
      <c r="B14" s="6" t="inlineStr">
        <is>
          <t>Табло «Выход»</t>
        </is>
      </c>
      <c r="C14" s="6" t="inlineStr">
        <is>
          <t>ОПОП 1-R3</t>
        </is>
      </c>
      <c r="D14" s="6" t="inlineStr">
        <is>
          <t>шт</t>
        </is>
      </c>
      <c r="E14" s="6" t="n">
        <v>9</v>
      </c>
      <c r="F14" s="6" t="n"/>
      <c r="G14" s="6" t="n">
        <v>0</v>
      </c>
      <c r="H14" s="6" t="n"/>
      <c r="I14" s="6" t="inlineStr">
        <is>
          <t>-</t>
        </is>
      </c>
      <c r="J14" s="5" t="inlineStr">
        <is>
          <t>782-3121-ПС-ВК-ЧНД</t>
        </is>
      </c>
      <c r="K14" s="6" t="inlineStr">
        <is>
          <t>Не подписан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n"/>
      <c r="N14" s="6" t="n"/>
    </row>
    <row r="15">
      <c r="A15" s="6" t="inlineStr">
        <is>
          <t>1.10</t>
        </is>
      </c>
      <c r="B15" s="6" t="inlineStr">
        <is>
          <t>Оповещатель свето-звуковой</t>
        </is>
      </c>
      <c r="C15" s="6" t="inlineStr">
        <is>
          <t>ОПОП 124-R3</t>
        </is>
      </c>
      <c r="D15" s="6" t="inlineStr">
        <is>
          <t>шт</t>
        </is>
      </c>
      <c r="E15" s="6" t="n">
        <v>32</v>
      </c>
      <c r="F15" s="6" t="n"/>
      <c r="G15" s="6" t="n">
        <v>0</v>
      </c>
      <c r="H15" s="6" t="n"/>
      <c r="I15" s="6" t="inlineStr">
        <is>
          <t>-</t>
        </is>
      </c>
      <c r="J15" s="5" t="inlineStr">
        <is>
          <t>782-3121-ПС-ВК-ЧНД</t>
        </is>
      </c>
      <c r="K15" s="6" t="inlineStr">
        <is>
          <t>Не подписан</t>
        </is>
      </c>
      <c r="L15" s="6">
        <f>IF(F15="",IF(J15="-","Нет зав. №, нет АоРПИ","Нет зав. №"),IF(G15&lt;E15,"Зав. № не все ("&amp;G15&amp;" из "&amp;E15&amp;")",IF(J15="-","Зав. № есть, АоРПИ нет",IF(K15="Подписан","ОК: зав. № + АоРПИ подписан","Зав. № есть, АоРПИ не подписан"))))</f>
        <v/>
      </c>
      <c r="M15" s="6" t="n"/>
      <c r="N15" s="6" t="n"/>
    </row>
    <row r="16">
      <c r="A16" s="6" t="inlineStr">
        <is>
          <t>1.11</t>
        </is>
      </c>
      <c r="B16" s="6" t="inlineStr">
        <is>
          <t>Извещатель тепловой адресный</t>
        </is>
      </c>
      <c r="C16" s="6" t="inlineStr">
        <is>
          <t>ИП 101-29-PR-R3</t>
        </is>
      </c>
      <c r="D16" s="6" t="inlineStr">
        <is>
          <t>шт</t>
        </is>
      </c>
      <c r="E16" s="6" t="n">
        <v>5</v>
      </c>
      <c r="F16" s="6" t="n"/>
      <c r="G16" s="6" t="n">
        <v>0</v>
      </c>
      <c r="H16" s="6" t="n"/>
      <c r="I16" s="6" t="inlineStr">
        <is>
          <t>-</t>
        </is>
      </c>
      <c r="J16" s="5" t="inlineStr">
        <is>
          <t>782-3121-ПС-ВК-ЧНД</t>
        </is>
      </c>
      <c r="K16" s="6" t="inlineStr">
        <is>
          <t>Не подписан</t>
        </is>
      </c>
      <c r="L16" s="6">
        <f>IF(F16="",IF(J16="-","Нет зав. №, нет АоРПИ","Нет зав. №"),IF(G16&lt;E16,"Зав. № не все ("&amp;G16&amp;" из "&amp;E16&amp;")",IF(J16="-","Зав. № есть, АоРПИ нет",IF(K16="Подписан","ОК: зав. № + АоРПИ подписан","Зав. № есть, АоРПИ не подписан"))))</f>
        <v/>
      </c>
      <c r="M16" s="6" t="n"/>
      <c r="N16" s="6" t="n"/>
    </row>
    <row r="17">
      <c r="A17" s="6" t="inlineStr">
        <is>
          <t>1.12</t>
        </is>
      </c>
      <c r="B17" s="6" t="inlineStr">
        <is>
          <t>Модуль интерфейсный для термокабеля</t>
        </is>
      </c>
      <c r="C17" s="6" t="inlineStr">
        <is>
          <t>МИП-2И</t>
        </is>
      </c>
      <c r="D17" s="6" t="inlineStr">
        <is>
          <t>шт</t>
        </is>
      </c>
      <c r="E17" s="6" t="n">
        <v>1</v>
      </c>
      <c r="F17" s="6" t="n"/>
      <c r="G17" s="6" t="n">
        <v>0</v>
      </c>
      <c r="H17" s="6" t="n"/>
      <c r="I17" s="6" t="inlineStr">
        <is>
          <t>-</t>
        </is>
      </c>
      <c r="J17" s="5" t="inlineStr">
        <is>
          <t>782-3121-ПС-ВК-ЧНД</t>
        </is>
      </c>
      <c r="K17" s="6" t="inlineStr">
        <is>
          <t>Не подписан</t>
        </is>
      </c>
      <c r="L17" s="6">
        <f>IF(F17="",IF(J17="-","Нет зав. №, нет АоРПИ","Нет зав. №"),IF(G17&lt;E17,"Зав. № не все ("&amp;G17&amp;" из "&amp;E17&amp;")",IF(J17="-","Зав. № есть, АоРПИ нет",IF(K17="Подписан","ОК: зав. № + АоРПИ подписан","Зав. № есть, АоРПИ не подписан"))))</f>
        <v/>
      </c>
      <c r="M17" s="6" t="n"/>
      <c r="N17" s="6" t="n"/>
    </row>
    <row r="18">
      <c r="A18" s="6" t="inlineStr">
        <is>
          <t>1.14</t>
        </is>
      </c>
      <c r="B18" s="6" t="inlineStr">
        <is>
          <t>Адресная метка АМ-4</t>
        </is>
      </c>
      <c r="C18" s="6" t="inlineStr">
        <is>
          <t>АМ-4-R3</t>
        </is>
      </c>
      <c r="D18" s="6" t="inlineStr">
        <is>
          <t>шт</t>
        </is>
      </c>
      <c r="E18" s="6" t="n">
        <v>1</v>
      </c>
      <c r="F18" s="6" t="n"/>
      <c r="G18" s="6" t="n">
        <v>0</v>
      </c>
      <c r="H18" s="6" t="n"/>
      <c r="I18" s="6" t="inlineStr">
        <is>
          <t>-</t>
        </is>
      </c>
      <c r="J18" s="5" t="inlineStr">
        <is>
          <t>782-3121-ПС-ВК-ЧНД</t>
        </is>
      </c>
      <c r="K18" s="6" t="inlineStr">
        <is>
          <t>Не подписан</t>
        </is>
      </c>
      <c r="L18" s="6">
        <f>IF(F18="",IF(J18="-","Нет зав. №, нет АоРПИ","Нет зав. №"),IF(G18&lt;E18,"Зав. № не все ("&amp;G18&amp;" из "&amp;E18&amp;")",IF(J18="-","Зав. № есть, АоРПИ нет",IF(K18="Подписан","ОК: зав. № + АоРПИ подписан","Зав. № есть, АоРПИ не подписан"))))</f>
        <v/>
      </c>
      <c r="M18" s="6" t="n"/>
      <c r="N18" s="6" t="n"/>
    </row>
    <row r="19">
      <c r="A19" s="6" t="inlineStr">
        <is>
          <t>1.15</t>
        </is>
      </c>
      <c r="B19" s="6" t="inlineStr">
        <is>
          <t>Адресный релейный модуль</t>
        </is>
      </c>
      <c r="C19" s="6" t="inlineStr">
        <is>
          <t>РМ-2</t>
        </is>
      </c>
      <c r="D19" s="6" t="inlineStr">
        <is>
          <t>шт</t>
        </is>
      </c>
      <c r="E19" s="6" t="n">
        <v>12</v>
      </c>
      <c r="F19" s="6" t="n"/>
      <c r="G19" s="6" t="n">
        <v>0</v>
      </c>
      <c r="H19" s="6" t="n"/>
      <c r="I19" s="6" t="inlineStr">
        <is>
          <t>-</t>
        </is>
      </c>
      <c r="J19" s="5" t="inlineStr">
        <is>
          <t>782-3121-ПС-ВК-ЧНД</t>
        </is>
      </c>
      <c r="K19" s="6" t="inlineStr">
        <is>
          <t>Не подписан</t>
        </is>
      </c>
      <c r="L19" s="6">
        <f>IF(F19="",IF(J19="-","Нет зав. №, нет АоРПИ","Нет зав. №"),IF(G19&lt;E19,"Зав. № не все ("&amp;G19&amp;" из "&amp;E19&amp;")",IF(J19="-","Зав. № есть, АоРПИ нет",IF(K19="Подписан","ОК: зав. № + АоРПИ подписан","Зав. № есть, АоРПИ не подписан"))))</f>
        <v/>
      </c>
      <c r="M19" s="6" t="n"/>
      <c r="N19" s="6" t="n"/>
    </row>
    <row r="20" ht="26.4" customHeight="1" s="19">
      <c r="A20" s="6" t="inlineStr">
        <is>
          <t>1.13</t>
        </is>
      </c>
      <c r="B20" s="6" t="inlineStr">
        <is>
          <t>Извещатель тепловой линейный (термокабель) 105 °С</t>
        </is>
      </c>
      <c r="C20" s="6" t="inlineStr">
        <is>
          <t>GTSW-105-CP</t>
        </is>
      </c>
      <c r="D20" s="6" t="inlineStr">
        <is>
          <t>м</t>
        </is>
      </c>
      <c r="E20" s="6" t="n">
        <v>60</v>
      </c>
      <c r="F20" s="6" t="n"/>
      <c r="G20" s="6" t="n">
        <v>0</v>
      </c>
      <c r="H20" s="6" t="n"/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>
        <f>IF(F20="",IF(J20="-","Нет зав. №, нет АоРПИ","Нет зав. №"),IF(G20&lt;E20,"Зав. № не все ("&amp;G20&amp;" из "&amp;E20&amp;")",IF(J20="-","Зав. № есть, АоРПИ нет",IF(K20="Подписан","ОК: зав. № + АоРПИ подписан","Зав. № есть, АоРПИ не подписан"))))</f>
        <v/>
      </c>
      <c r="M20" s="6" t="n"/>
      <c r="N20" s="6" t="n"/>
    </row>
    <row r="21">
      <c r="D21" s="7" t="inlineStr">
        <is>
          <t>Итого</t>
        </is>
      </c>
      <c r="E21" s="7">
        <f>SUM(E6:E20)</f>
        <v/>
      </c>
      <c r="G21" s="7">
        <f>SUM(G6:G20)</f>
        <v/>
      </c>
    </row>
  </sheetData>
  <autoFilter ref="A5:R20"/>
  <conditionalFormatting sqref="F6:F20">
    <cfRule type="expression" priority="5" dxfId="1">
      <formula>$F6=""</formula>
    </cfRule>
  </conditionalFormatting>
  <conditionalFormatting sqref="L6:L20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</hyperlink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3121, раздел АОВ — оборудование (раздел «Оборудование» спецификации), заводские номера и АоРПИ</t>
        </is>
      </c>
    </row>
    <row r="2">
      <c r="A2" s="14" t="inlineStr">
        <is>
          <t>СО: 03-50-1201-44-АОВ.СО-001, ревизия 4A (.xlsx)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>
      <c r="A6" s="6" t="inlineStr">
        <is>
          <t>03PDS… (13 шт)</t>
        </is>
      </c>
      <c r="B6" s="6" t="inlineStr">
        <is>
          <t>Реле перепада давления 50–500 Па</t>
        </is>
      </c>
      <c r="C6" s="6" t="inlineStr">
        <is>
          <t>606.01001+1001 (TEREN)</t>
        </is>
      </c>
      <c r="D6" s="6" t="inlineStr">
        <is>
          <t>шт</t>
        </is>
      </c>
      <c r="E6" s="6" t="n">
        <v>13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Приточные установки 03-AHU-3121-01…07</t>
        </is>
      </c>
      <c r="N6" s="6" t="n"/>
    </row>
    <row r="7">
      <c r="A7" s="6" t="inlineStr">
        <is>
          <t>03PDS… (13 шт)</t>
        </is>
      </c>
      <c r="B7" s="6" t="inlineStr">
        <is>
          <t>Реле перепада давления 100–1000 Па</t>
        </is>
      </c>
      <c r="C7" s="6" t="inlineStr">
        <is>
          <t>606.02001+1001 (TEREN)</t>
        </is>
      </c>
      <c r="D7" s="6" t="inlineStr">
        <is>
          <t>шт</t>
        </is>
      </c>
      <c r="E7" s="6" t="n">
        <v>13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</row>
    <row r="8">
      <c r="A8" s="6" t="inlineStr">
        <is>
          <t>03TT12521</t>
        </is>
      </c>
      <c r="B8" s="6" t="inlineStr">
        <is>
          <t>Термопреобразователь Pt1000, L=60 мм</t>
        </is>
      </c>
      <c r="C8" s="6" t="inlineStr">
        <is>
          <t>TT3N231 (TEREN)</t>
        </is>
      </c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</row>
    <row r="9">
      <c r="A9" s="6" t="inlineStr">
        <is>
          <t>03TT12522…12543</t>
        </is>
      </c>
      <c r="B9" s="6" t="inlineStr">
        <is>
          <t>Термопреобразователь Pt1000, L=125 мм</t>
        </is>
      </c>
      <c r="C9" s="6" t="inlineStr">
        <is>
          <t>TT2N-231 (TEREN)</t>
        </is>
      </c>
      <c r="D9" s="6" t="inlineStr">
        <is>
          <t>шт</t>
        </is>
      </c>
      <c r="E9" s="6" t="n">
        <v>6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</row>
    <row r="10">
      <c r="A10" s="6" t="inlineStr">
        <is>
          <t>03LCP12506…12511</t>
        </is>
      </c>
      <c r="B10" s="6" t="inlineStr">
        <is>
          <t>Блок управления ротацией и резервированием</t>
        </is>
      </c>
      <c r="C10" s="6" t="inlineStr">
        <is>
          <t>БУРР-1М</t>
        </is>
      </c>
      <c r="D10" s="6" t="inlineStr">
        <is>
          <t>шт</t>
        </is>
      </c>
      <c r="E10" s="6" t="n">
        <v>6</v>
      </c>
      <c r="F10" s="6" t="n"/>
      <c r="G10" s="6" t="n">
        <v>0</v>
      </c>
      <c r="H10" s="6" t="n"/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inlineStr">
        <is>
          <t>HOLD в СО</t>
        </is>
      </c>
      <c r="N10" s="6" t="n"/>
    </row>
    <row r="11">
      <c r="A11" s="6" t="inlineStr">
        <is>
          <t>A1</t>
        </is>
      </c>
      <c r="B11" s="6" t="inlineStr">
        <is>
          <t>Блок исполнительный специализированный</t>
        </is>
      </c>
      <c r="C11" s="6" t="inlineStr">
        <is>
          <t>БИС-1М</t>
        </is>
      </c>
      <c r="D11" s="6" t="inlineStr">
        <is>
          <t>шт</t>
        </is>
      </c>
      <c r="E11" s="6" t="n">
        <v>6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inlineStr">
        <is>
          <t>HOLD в СО</t>
        </is>
      </c>
      <c r="N11" s="6" t="n"/>
    </row>
    <row r="12" ht="26.4" customHeight="1" s="19">
      <c r="A12" s="6" t="inlineStr">
        <is>
          <t>03LCP12505</t>
        </is>
      </c>
      <c r="B12" s="6" t="inlineStr">
        <is>
          <t>Шкаф управления системами вентиляции и кондиционирования 1600х800х2000</t>
        </is>
      </c>
      <c r="C12" s="6" t="n"/>
      <c r="D12" s="6" t="inlineStr">
        <is>
          <t>шт</t>
        </is>
      </c>
      <c r="E12" s="6" t="n">
        <v>1</v>
      </c>
      <c r="F12" s="6" t="n"/>
      <c r="G12" s="6" t="n">
        <v>0</v>
      </c>
      <c r="H12" s="6" t="n"/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</row>
    <row r="13">
      <c r="D13" s="7" t="inlineStr">
        <is>
          <t>Итого</t>
        </is>
      </c>
      <c r="E13" s="7">
        <f>SUM(E6:E12)</f>
        <v/>
      </c>
      <c r="G13" s="7">
        <f>SUM(G6:G12)</f>
        <v/>
      </c>
    </row>
  </sheetData>
  <autoFilter ref="A5:R12"/>
  <conditionalFormatting sqref="F6:F12">
    <cfRule type="expression" priority="5" dxfId="1">
      <formula>$F6=""</formula>
    </cfRule>
  </conditionalFormatting>
  <conditionalFormatting sqref="L6:L12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3121, раздел АОВ1 — оборудование (раздел «Оборудование» спецификации), заводские номера и АоРПИ</t>
        </is>
      </c>
    </row>
    <row r="2">
      <c r="A2" s="14" t="inlineStr">
        <is>
          <t>СО: 03-50-1201-44-АОВ1.СО-001, ревизия 4B (.doc)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03UG12001</t>
        </is>
      </c>
      <c r="B6" s="6" t="inlineStr">
        <is>
          <t>Источник бесперебойного питания 24 В, 17 Ач</t>
        </is>
      </c>
      <c r="C6" s="6" t="inlineStr">
        <is>
          <t>ИВЭПР 24/2,5 RS-R3 исп. 2x17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Количество уточнить по СО</t>
        </is>
      </c>
      <c r="N6" s="6" t="n"/>
    </row>
    <row r="7">
      <c r="A7" s="6" t="inlineStr">
        <is>
          <t>03GB12001…12009</t>
        </is>
      </c>
      <c r="B7" s="6" t="inlineStr">
        <is>
          <t>Бокс резервного электропитания 24 В 40 Ач</t>
        </is>
      </c>
      <c r="C7" s="6" t="inlineStr">
        <is>
          <t>БР24 2×40 (Рубеж)</t>
        </is>
      </c>
      <c r="D7" s="6" t="inlineStr">
        <is>
          <t>шт</t>
        </is>
      </c>
      <c r="E7" s="6" t="n">
        <v>9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</row>
    <row r="8">
      <c r="A8" s="6" t="inlineStr">
        <is>
          <t>—</t>
        </is>
      </c>
      <c r="B8" s="6" t="inlineStr">
        <is>
          <t>АКБ 40 Ач</t>
        </is>
      </c>
      <c r="C8" s="6" t="n"/>
      <c r="D8" s="6" t="inlineStr">
        <is>
          <t>шт</t>
        </is>
      </c>
      <c r="E8" s="6" t="n">
        <v>18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</row>
    <row r="9">
      <c r="A9" s="6" t="inlineStr">
        <is>
          <t>03SC12001…12013</t>
        </is>
      </c>
      <c r="B9" s="6" t="inlineStr">
        <is>
          <t>Модуль релейный с контролем цепей</t>
        </is>
      </c>
      <c r="C9" s="6" t="inlineStr">
        <is>
          <t>РМ-1К-R3</t>
        </is>
      </c>
      <c r="D9" s="6" t="inlineStr">
        <is>
          <t>шт</t>
        </is>
      </c>
      <c r="E9" s="6" t="n">
        <v>9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</row>
    <row r="10">
      <c r="A10" s="6" t="inlineStr">
        <is>
          <t>03MD12001…12051</t>
        </is>
      </c>
      <c r="B10" s="6" t="inlineStr">
        <is>
          <t>Модуль автоматики дымоудаления</t>
        </is>
      </c>
      <c r="C10" s="6" t="inlineStr">
        <is>
          <t>МДУ-1С-R3 исп. 24</t>
        </is>
      </c>
      <c r="D10" s="6" t="inlineStr">
        <is>
          <t>шт</t>
        </is>
      </c>
      <c r="E10" s="6" t="n">
        <v>51</v>
      </c>
      <c r="F10" s="6" t="n"/>
      <c r="G10" s="6" t="n">
        <v>0</v>
      </c>
      <c r="H10" s="6" t="n"/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</row>
    <row r="11">
      <c r="A11" s="6" t="inlineStr">
        <is>
          <t>03FLC12001, 12002</t>
        </is>
      </c>
      <c r="B11" s="6" t="inlineStr">
        <is>
          <t>Шкаф управления вентилятором 7,5 кВт</t>
        </is>
      </c>
      <c r="C11" s="6" t="inlineStr">
        <is>
          <t>ШУВ-7,5-03</t>
        </is>
      </c>
      <c r="D11" s="6" t="inlineStr">
        <is>
          <t>шт</t>
        </is>
      </c>
      <c r="E11" s="6" t="n">
        <v>2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</row>
    <row r="12">
      <c r="A12" s="6" t="inlineStr">
        <is>
          <t>—</t>
        </is>
      </c>
      <c r="B12" s="6" t="inlineStr">
        <is>
          <t>УДП «Пуск дымоудаления»</t>
        </is>
      </c>
      <c r="C12" s="6" t="inlineStr">
        <is>
          <t>УДП 513-11-R3</t>
        </is>
      </c>
      <c r="D12" s="6" t="inlineStr">
        <is>
          <t>шт</t>
        </is>
      </c>
      <c r="E12" s="6" t="n">
        <v>2</v>
      </c>
      <c r="F12" s="6" t="n"/>
      <c r="G12" s="6" t="n">
        <v>0</v>
      </c>
      <c r="H12" s="6" t="n"/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</row>
    <row r="13">
      <c r="A13" s="6" t="inlineStr">
        <is>
          <t>03AM12002…12006</t>
        </is>
      </c>
      <c r="B13" s="6" t="inlineStr">
        <is>
          <t>Адресная метка</t>
        </is>
      </c>
      <c r="C13" s="6" t="inlineStr">
        <is>
          <t>АМ-1-R3</t>
        </is>
      </c>
      <c r="D13" s="6" t="inlineStr">
        <is>
          <t>шт</t>
        </is>
      </c>
      <c r="E13" s="6" t="n">
        <v>5</v>
      </c>
      <c r="F13" s="6" t="n"/>
      <c r="G13" s="6" t="n">
        <v>0</v>
      </c>
      <c r="H13" s="6" t="n"/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</row>
    <row r="14">
      <c r="D14" s="7" t="inlineStr">
        <is>
          <t>Итого</t>
        </is>
      </c>
      <c r="E14" s="7">
        <f>SUM(E6:E13)</f>
        <v/>
      </c>
      <c r="G14" s="7">
        <f>SUM(G6:G13)</f>
        <v/>
      </c>
    </row>
  </sheetData>
  <autoFilter ref="A5:R13"/>
  <conditionalFormatting sqref="F6:F13">
    <cfRule type="expression" priority="5" dxfId="1">
      <formula>$F6=""</formula>
    </cfRule>
  </conditionalFormatting>
  <conditionalFormatting sqref="L6:L13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3123, раздел СС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03-91-1203-44-СС.СО-001, ревизия 4B (.docx); в папке 5 — pdf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Шкаф с уличным коммутатором и ИБП</t>
        </is>
      </c>
      <c r="C6" s="6" t="inlineStr">
        <is>
          <t>PSW-2G8F+Box (TFortis)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5" t="inlineStr">
        <is>
          <t>PO-219-TP-0001 1B, стр. 648–651 (скан, зав. № в тексте нет)</t>
        </is>
      </c>
    </row>
    <row r="7" ht="26.4" customHeight="1" s="19">
      <c r="A7" s="6" t="inlineStr">
        <is>
          <t>2.1</t>
        </is>
      </c>
      <c r="B7" s="6" t="inlineStr">
        <is>
          <t>Громкоговоритель настенный 10/5 Вт</t>
        </is>
      </c>
      <c r="C7" s="6" t="inlineStr">
        <is>
          <t>LPA-10W3</t>
        </is>
      </c>
      <c r="D7" s="6" t="inlineStr">
        <is>
          <t>шт</t>
        </is>
      </c>
      <c r="E7" s="6" t="n">
        <v>2</v>
      </c>
      <c r="F7" s="6" t="n"/>
      <c r="G7" s="6" t="n">
        <v>0</v>
      </c>
      <c r="H7" s="6" t="n"/>
      <c r="I7" s="5" t="inlineStr">
        <is>
          <t>1576-1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5" t="inlineStr">
        <is>
          <t>PO-219-TP-0001 1B, стр. 396–397 (скан, зав. № в тексте нет)</t>
        </is>
      </c>
    </row>
    <row r="8" ht="26.4" customHeight="1" s="19">
      <c r="A8" s="6" t="inlineStr">
        <is>
          <t>2.2</t>
        </is>
      </c>
      <c r="B8" s="6" t="inlineStr">
        <is>
          <t>Оповещатель промышленный рупорный 30 Вт</t>
        </is>
      </c>
      <c r="C8" s="6" t="inlineStr">
        <is>
          <t>GL-30</t>
        </is>
      </c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5" t="inlineStr">
        <is>
          <t>1576-1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По RFI 1576-1 поставлено GL-30 — 4 шт</t>
        </is>
      </c>
      <c r="N8" s="5" t="inlineStr">
        <is>
          <t>PO-219-TP-0001 1B, стр. 398–400 (скан, зав. № в тексте нет)</t>
        </is>
      </c>
    </row>
    <row r="9" ht="26.4" customHeight="1" s="19">
      <c r="A9" s="6" t="inlineStr">
        <is>
          <t>3.1</t>
        </is>
      </c>
      <c r="B9" s="6" t="inlineStr">
        <is>
          <t>Базовая станция IP-DECT</t>
        </is>
      </c>
      <c r="C9" s="6" t="n"/>
      <c r="D9" s="6" t="inlineStr">
        <is>
          <t>шт</t>
        </is>
      </c>
      <c r="E9" s="6" t="n">
        <v>4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5" t="inlineStr">
        <is>
          <t>PO-219-TP-0001 1B, Gigaset N720IP PRO стр. 268–271 (скан)</t>
        </is>
      </c>
    </row>
    <row r="10">
      <c r="D10" s="7" t="inlineStr">
        <is>
          <t>Итого</t>
        </is>
      </c>
      <c r="E10" s="7">
        <f>SUM(E6:E9)</f>
        <v/>
      </c>
      <c r="G10" s="7">
        <f>SUM(G6:G9)</f>
        <v/>
      </c>
    </row>
  </sheetData>
  <autoFilter ref="A5:R9"/>
  <conditionalFormatting sqref="F6:F9">
    <cfRule type="expression" priority="5" dxfId="1">
      <formula>$F6=""</formula>
    </cfRule>
  </conditionalFormatting>
  <conditionalFormatting sqref="L6:L9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N6" r:id="rId1"/>
    <hyperlink xmlns:r="http://schemas.openxmlformats.org/officeDocument/2006/relationships" ref="I7" r:id="rId2"/>
    <hyperlink xmlns:r="http://schemas.openxmlformats.org/officeDocument/2006/relationships" ref="N7" r:id="rId3"/>
    <hyperlink xmlns:r="http://schemas.openxmlformats.org/officeDocument/2006/relationships" ref="I8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3123, раздел ОС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03-91-1203-44-ОС.СО-001, ревизия 5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 3123-SK-001</t>
        </is>
      </c>
      <c r="B6" s="6" t="inlineStr">
        <is>
          <t>Уличный управляемый коммутатор L2 с PoE и резервным питанием</t>
        </is>
      </c>
      <c r="C6" s="6" t="inlineStr">
        <is>
          <t>PSW-2G8F+UPS-Box (TFortis)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5" t="inlineStr">
        <is>
          <t>783-3123-ПС-ВК-ЧНД</t>
        </is>
      </c>
      <c r="K6" s="6" t="inlineStr">
        <is>
          <t>Не подписан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АоРПИ 783-3123-«ПС» (фактически ОС), без зав. №; в 2.Open не загружен</t>
        </is>
      </c>
      <c r="N6" s="5" t="inlineStr">
        <is>
          <t>PO-219-TP-0001 1B, стр. 648–651 (скан, зав. № в тексте нет)</t>
        </is>
      </c>
    </row>
    <row r="7" ht="26.4" customHeight="1" s="19">
      <c r="A7" s="6" t="inlineStr">
        <is>
          <t>—</t>
        </is>
      </c>
      <c r="B7" s="6" t="inlineStr">
        <is>
          <t>IP-видеокамера уличная вариофокальная</t>
        </is>
      </c>
      <c r="C7" s="6" t="inlineStr">
        <is>
          <t>IPTRONIC</t>
        </is>
      </c>
      <c r="D7" s="6" t="inlineStr">
        <is>
          <t>шт</t>
        </is>
      </c>
      <c r="E7" s="6" t="n">
        <v>4</v>
      </c>
      <c r="F7" s="6" t="n"/>
      <c r="G7" s="6" t="n">
        <v>0</v>
      </c>
      <c r="H7" s="6" t="n"/>
      <c r="I7" s="6" t="inlineStr">
        <is>
          <t>-</t>
        </is>
      </c>
      <c r="J7" s="5" t="inlineStr">
        <is>
          <t>783-3123-ПС-ВК-ЧНД</t>
        </is>
      </c>
      <c r="K7" s="6" t="inlineStr">
        <is>
          <t>Не подписан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inlineStr">
        <is>
          <t>Кол-во по АоРПИ 783</t>
        </is>
      </c>
      <c r="N7" s="5" t="inlineStr">
        <is>
          <t>PO-219-TP-0001 1B, IPTS-IPBM5002/5035 стр. 296–304 (скан)</t>
        </is>
      </c>
    </row>
    <row r="8" ht="26.4" customHeight="1" s="19">
      <c r="A8" s="6" t="inlineStr">
        <is>
          <t>4.3 3123-AM-001…006</t>
        </is>
      </c>
      <c r="B8" s="6" t="inlineStr">
        <is>
          <t>Адресный расширитель</t>
        </is>
      </c>
      <c r="C8" s="6" t="inlineStr">
        <is>
          <t>С2000-АР1 исп.01</t>
        </is>
      </c>
      <c r="D8" s="6" t="inlineStr">
        <is>
          <t>шт</t>
        </is>
      </c>
      <c r="E8" s="6" t="n">
        <v>6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5" t="inlineStr">
        <is>
          <t>PO-219-TP-0001 1B, стр. 90–95 (скан, зав. № в тексте нет)</t>
        </is>
      </c>
    </row>
    <row r="9" ht="26.4" customHeight="1" s="19">
      <c r="A9" s="6" t="inlineStr">
        <is>
          <t>4.5</t>
        </is>
      </c>
      <c r="B9" s="6" t="inlineStr">
        <is>
          <t>АКБ 12 В 17 Ач</t>
        </is>
      </c>
      <c r="C9" s="6" t="inlineStr">
        <is>
          <t>DTM1217</t>
        </is>
      </c>
      <c r="D9" s="6" t="inlineStr">
        <is>
          <t>шт</t>
        </is>
      </c>
      <c r="E9" s="6" t="n">
        <v>2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5" t="inlineStr">
        <is>
          <t>PO-219-TP-0001 1B, стр. 237–238 (скан, зав. № в тексте нет)</t>
        </is>
      </c>
    </row>
    <row r="10">
      <c r="D10" s="7" t="inlineStr">
        <is>
          <t>Итого</t>
        </is>
      </c>
      <c r="E10" s="7">
        <f>SUM(E6:E9)</f>
        <v/>
      </c>
      <c r="G10" s="7">
        <f>SUM(G6:G9)</f>
        <v/>
      </c>
    </row>
  </sheetData>
  <autoFilter ref="A5:R9"/>
  <conditionalFormatting sqref="F6:F9">
    <cfRule type="expression" priority="5" dxfId="1">
      <formula>$F6=""</formula>
    </cfRule>
  </conditionalFormatting>
  <conditionalFormatting sqref="L6:L9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J6" r:id="rId1"/>
    <hyperlink xmlns:r="http://schemas.openxmlformats.org/officeDocument/2006/relationships" ref="N6" r:id="rId2"/>
    <hyperlink xmlns:r="http://schemas.openxmlformats.org/officeDocument/2006/relationships" ref="J7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3123, раздел СКУД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03-91-1203-44-СКУД.СО-001, ревизия 5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Контроллер сетевой (2 Wiegand)</t>
        </is>
      </c>
      <c r="C6" s="6" t="inlineStr">
        <is>
          <t>AAM-LAN-1W/2RS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5" t="inlineStr">
        <is>
          <t>PO-219-TP-0001 1B, стр. 8–9 (скан, зав. № в тексте нет)</t>
        </is>
      </c>
    </row>
    <row r="7" ht="26.4" customHeight="1" s="19">
      <c r="A7" s="6" t="inlineStr">
        <is>
          <t>1.3</t>
        </is>
      </c>
      <c r="B7" s="6" t="inlineStr">
        <is>
          <t>Источник вторичного электропитания 12 В</t>
        </is>
      </c>
      <c r="C7" s="6" t="inlineStr">
        <is>
          <t>РИП-12-6/80М3-Р-RS</t>
        </is>
      </c>
      <c r="D7" s="6" t="inlineStr">
        <is>
          <t>шт</t>
        </is>
      </c>
      <c r="E7" s="6" t="n">
        <v>1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5" t="inlineStr">
        <is>
          <t>PO-219-TP-0001 1B, стр. 111–120 (скан, зав. № в тексте нет)</t>
        </is>
      </c>
    </row>
    <row r="8" ht="26.4" customHeight="1" s="19">
      <c r="A8" s="6" t="inlineStr">
        <is>
          <t>1.5</t>
        </is>
      </c>
      <c r="B8" s="6" t="inlineStr">
        <is>
          <t>Считыватель MIFARE</t>
        </is>
      </c>
      <c r="C8" s="6" t="inlineStr">
        <is>
          <t>ST-PR042MF</t>
        </is>
      </c>
      <c r="D8" s="6" t="inlineStr">
        <is>
          <t>шт</t>
        </is>
      </c>
      <c r="E8" s="6" t="n">
        <v>2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5" t="inlineStr">
        <is>
          <t>PO-219-TP-0001 1B, стр. 586 (скан, зав. № в тексте нет)</t>
        </is>
      </c>
    </row>
    <row r="9" ht="26.4" customHeight="1" s="19">
      <c r="A9" s="6" t="inlineStr">
        <is>
          <t>1.6</t>
        </is>
      </c>
      <c r="B9" s="6" t="inlineStr">
        <is>
          <t>Извещатель магнитоконтактный</t>
        </is>
      </c>
      <c r="C9" s="6" t="inlineStr">
        <is>
          <t>ST-DM130NC-SL</t>
        </is>
      </c>
      <c r="D9" s="6" t="inlineStr">
        <is>
          <t>шт</t>
        </is>
      </c>
      <c r="E9" s="6" t="n">
        <v>2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5" t="inlineStr">
        <is>
          <t>PO-219-TP-0001 1B, стр. 587 (скан, зав. № в тексте нет)</t>
        </is>
      </c>
    </row>
    <row r="10" ht="26.4" customHeight="1" s="19">
      <c r="A10" s="6" t="inlineStr">
        <is>
          <t>1.10</t>
        </is>
      </c>
      <c r="B10" s="6" t="inlineStr">
        <is>
          <t>Устройство дистанционного пуска «Аварийный выход»</t>
        </is>
      </c>
      <c r="C10" s="6" t="inlineStr">
        <is>
          <t>ST-ER115</t>
        </is>
      </c>
      <c r="D10" s="6" t="inlineStr">
        <is>
          <t>шт</t>
        </is>
      </c>
      <c r="E10" s="6" t="n">
        <v>2</v>
      </c>
      <c r="F10" s="6" t="n"/>
      <c r="G10" s="6" t="n">
        <v>0</v>
      </c>
      <c r="H10" s="6" t="n"/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5" t="inlineStr">
        <is>
          <t>PO-219-TP-0001 1B, стр. 596 (скан, зав. № в тексте нет)</t>
        </is>
      </c>
    </row>
    <row r="11">
      <c r="A11" s="6" t="inlineStr">
        <is>
          <t>1.11</t>
        </is>
      </c>
      <c r="B11" s="6" t="inlineStr">
        <is>
          <t>Модуль релейный (АЛС)</t>
        </is>
      </c>
      <c r="C11" s="6" t="n"/>
      <c r="D11" s="6" t="inlineStr">
        <is>
          <t>шт</t>
        </is>
      </c>
      <c r="E11" s="6" t="n">
        <v>2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</row>
    <row r="12">
      <c r="D12" s="7" t="inlineStr">
        <is>
          <t>Итого</t>
        </is>
      </c>
      <c r="E12" s="7">
        <f>SUM(E6:E11)</f>
        <v/>
      </c>
      <c r="G12" s="7">
        <f>SUM(G6:G11)</f>
        <v/>
      </c>
    </row>
  </sheetData>
  <autoFilter ref="A5:R11"/>
  <conditionalFormatting sqref="F6:F11">
    <cfRule type="expression" priority="5" dxfId="1">
      <formula>$F6=""</formula>
    </cfRule>
  </conditionalFormatting>
  <conditionalFormatting sqref="L6:L11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</hyperlink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3123, раздел ПС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03-91-1203-44-ПС.СО-001, ревизия 4A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Прибор приёмно-контрольный охранно-пожарный</t>
        </is>
      </c>
      <c r="C6" s="6" t="inlineStr">
        <is>
          <t>R3-Рубеж-2ОП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</row>
    <row r="7">
      <c r="A7" s="6" t="inlineStr">
        <is>
          <t>1.2</t>
        </is>
      </c>
      <c r="B7" s="6" t="inlineStr">
        <is>
          <t>Модуль изолятор АЛС</t>
        </is>
      </c>
      <c r="C7" s="6" t="inlineStr">
        <is>
          <t>ИЗ-1-R3</t>
        </is>
      </c>
      <c r="D7" s="6" t="inlineStr">
        <is>
          <t>шт</t>
        </is>
      </c>
      <c r="E7" s="6" t="n">
        <v>2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</row>
    <row r="8">
      <c r="A8" s="6" t="inlineStr">
        <is>
          <t>1.3</t>
        </is>
      </c>
      <c r="B8" s="6" t="inlineStr">
        <is>
          <t>ИВЭПР 24 В 3,5 А</t>
        </is>
      </c>
      <c r="C8" s="6" t="inlineStr">
        <is>
          <t>ИВЭПР 24/3,5 2х12-Р БР</t>
        </is>
      </c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</row>
    <row r="9">
      <c r="A9" s="6" t="inlineStr">
        <is>
          <t>1.4</t>
        </is>
      </c>
      <c r="B9" s="6" t="inlineStr">
        <is>
          <t>АКБ 12 В 12 Ач</t>
        </is>
      </c>
      <c r="C9" s="6" t="inlineStr">
        <is>
          <t>DT 1212</t>
        </is>
      </c>
      <c r="D9" s="6" t="inlineStr">
        <is>
          <t>шт</t>
        </is>
      </c>
      <c r="E9" s="6" t="n">
        <v>2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</row>
    <row r="10">
      <c r="A10" s="6" t="inlineStr">
        <is>
          <t>1.5</t>
        </is>
      </c>
      <c r="B10" s="6" t="inlineStr">
        <is>
          <t>Извещатель пожарный дымовой адресный</t>
        </is>
      </c>
      <c r="C10" s="6" t="inlineStr">
        <is>
          <t>ИП 212-164-R3</t>
        </is>
      </c>
      <c r="D10" s="6" t="inlineStr">
        <is>
          <t>шт</t>
        </is>
      </c>
      <c r="E10" s="6" t="n">
        <v>4</v>
      </c>
      <c r="F10" s="6" t="n"/>
      <c r="G10" s="6" t="n">
        <v>0</v>
      </c>
      <c r="H10" s="6" t="n"/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n"/>
      <c r="N10" s="6" t="n"/>
    </row>
    <row r="11">
      <c r="A11" s="6" t="inlineStr">
        <is>
          <t>1.6</t>
        </is>
      </c>
      <c r="B11" s="6" t="inlineStr">
        <is>
          <t>Извещатель пожарный ручной адресный</t>
        </is>
      </c>
      <c r="C11" s="6" t="inlineStr">
        <is>
          <t>ИПР 513-11-А-R3</t>
        </is>
      </c>
      <c r="D11" s="6" t="inlineStr">
        <is>
          <t>шт</t>
        </is>
      </c>
      <c r="E11" s="6" t="n">
        <v>2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6" t="n"/>
    </row>
    <row r="12">
      <c r="A12" s="6" t="inlineStr">
        <is>
          <t>1.7</t>
        </is>
      </c>
      <c r="B12" s="6" t="inlineStr">
        <is>
          <t>Табло «Выход»</t>
        </is>
      </c>
      <c r="C12" s="6" t="inlineStr">
        <is>
          <t>ОПОП 1-R3</t>
        </is>
      </c>
      <c r="D12" s="6" t="inlineStr">
        <is>
          <t>шт</t>
        </is>
      </c>
      <c r="E12" s="6" t="n">
        <v>2</v>
      </c>
      <c r="F12" s="6" t="n"/>
      <c r="G12" s="6" t="n">
        <v>0</v>
      </c>
      <c r="H12" s="6" t="n"/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n"/>
      <c r="N12" s="6" t="n"/>
    </row>
    <row r="13">
      <c r="A13" s="6" t="inlineStr">
        <is>
          <t>1.8</t>
        </is>
      </c>
      <c r="B13" s="6" t="inlineStr">
        <is>
          <t>Оповещатель свето-звуковой</t>
        </is>
      </c>
      <c r="C13" s="6" t="inlineStr">
        <is>
          <t>ОПОП 124-R3</t>
        </is>
      </c>
      <c r="D13" s="6" t="inlineStr">
        <is>
          <t>шт</t>
        </is>
      </c>
      <c r="E13" s="6" t="n">
        <v>2</v>
      </c>
      <c r="F13" s="6" t="n"/>
      <c r="G13" s="6" t="n">
        <v>0</v>
      </c>
      <c r="H13" s="6" t="n"/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</row>
    <row r="14">
      <c r="D14" s="7" t="inlineStr">
        <is>
          <t>Итого</t>
        </is>
      </c>
      <c r="E14" s="7">
        <f>SUM(E6:E13)</f>
        <v/>
      </c>
      <c r="G14" s="7">
        <f>SUM(G6:G13)</f>
        <v/>
      </c>
    </row>
  </sheetData>
  <autoFilter ref="A5:R13"/>
  <conditionalFormatting sqref="F6:F13">
    <cfRule type="expression" priority="5" dxfId="1">
      <formula>$F6=""</formula>
    </cfRule>
  </conditionalFormatting>
  <conditionalFormatting sqref="L6:L13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3123, раздел АОВ — оборудование (раздел «Оборудование» спецификации), заводские номера и АоРПИ</t>
        </is>
      </c>
    </row>
    <row r="2">
      <c r="A2" s="14" t="inlineStr">
        <is>
          <t>СО: 03-50-1203-44-АОВ.СО-001, ревизия 4A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>
      <c r="A6" s="6" t="inlineStr">
        <is>
          <t>03TT12501…12505</t>
        </is>
      </c>
      <c r="B6" s="6" t="inlineStr">
        <is>
          <t>Термопреобразователь Pt100</t>
        </is>
      </c>
      <c r="C6" s="6" t="n"/>
      <c r="D6" s="6" t="inlineStr">
        <is>
          <t>шт</t>
        </is>
      </c>
      <c r="E6" s="6" t="n">
        <v>5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HOLD в СО</t>
        </is>
      </c>
      <c r="N6" s="6" t="n"/>
    </row>
    <row r="7">
      <c r="A7" s="6" t="inlineStr">
        <is>
          <t>03PDS12501, 12502</t>
        </is>
      </c>
      <c r="B7" s="6" t="inlineStr">
        <is>
          <t>Реле перепада давления 40–400 Па</t>
        </is>
      </c>
      <c r="C7" s="6" t="n"/>
      <c r="D7" s="6" t="inlineStr">
        <is>
          <t>шт</t>
        </is>
      </c>
      <c r="E7" s="6" t="n">
        <v>2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inlineStr">
        <is>
          <t>HOLD в СО</t>
        </is>
      </c>
      <c r="N7" s="6" t="n"/>
    </row>
    <row r="8">
      <c r="A8" s="6" t="inlineStr">
        <is>
          <t>03PDS…</t>
        </is>
      </c>
      <c r="B8" s="6" t="inlineStr">
        <is>
          <t>Реле перепада давления 100–1000 Па</t>
        </is>
      </c>
      <c r="C8" s="6" t="n"/>
      <c r="D8" s="6" t="inlineStr">
        <is>
          <t>шт</t>
        </is>
      </c>
      <c r="E8" s="6" t="n">
        <v>3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inlineStr">
        <is>
          <t>HOLD в СО</t>
        </is>
      </c>
      <c r="N8" s="6" t="n"/>
    </row>
    <row r="9">
      <c r="D9" s="7" t="inlineStr">
        <is>
          <t>Итого</t>
        </is>
      </c>
      <c r="E9" s="7">
        <f>SUM(E6:E8)</f>
        <v/>
      </c>
      <c r="G9" s="7">
        <f>SUM(G6:G8)</f>
        <v/>
      </c>
    </row>
  </sheetData>
  <autoFilter ref="A5:R8"/>
  <conditionalFormatting sqref="F6:F8">
    <cfRule type="expression" priority="5" dxfId="1">
      <formula>$F6=""</formula>
    </cfRule>
  </conditionalFormatting>
  <conditionalFormatting sqref="L6:L8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3123, раздел АОВ1 — оборудование (раздел «Оборудование» спецификации), заводские номера и АоРПИ</t>
        </is>
      </c>
    </row>
    <row r="2">
      <c r="A2" s="14" t="inlineStr">
        <is>
          <t>СО: 03-50-1203-44-АОВ1.СО-001, ревизия 4B (.doc)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>
      <c r="A6" s="6" t="inlineStr">
        <is>
          <t>1.2</t>
        </is>
      </c>
      <c r="B6" s="6" t="inlineStr">
        <is>
          <t>Источник бесперебойного питания 24 В</t>
        </is>
      </c>
      <c r="C6" s="6" t="inlineStr">
        <is>
          <t>ИВЭПР 24/2,5 RS-R3</t>
        </is>
      </c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inlineStr">
        <is>
          <t>Количество уточнить по СО</t>
        </is>
      </c>
      <c r="N6" s="6" t="n"/>
    </row>
    <row r="7">
      <c r="A7" s="6" t="inlineStr">
        <is>
          <t>03SC12501…12503</t>
        </is>
      </c>
      <c r="B7" s="6" t="inlineStr">
        <is>
          <t>Модуль релейный</t>
        </is>
      </c>
      <c r="C7" s="6" t="inlineStr">
        <is>
          <t>РМ-1С-R3</t>
        </is>
      </c>
      <c r="D7" s="6" t="inlineStr">
        <is>
          <t>шт</t>
        </is>
      </c>
      <c r="E7" s="6" t="n">
        <v>3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</row>
    <row r="8">
      <c r="A8" s="6" t="inlineStr">
        <is>
          <t>03MD12501, 12502</t>
        </is>
      </c>
      <c r="B8" s="6" t="inlineStr">
        <is>
          <t>Модуль автоматики дымоудаления</t>
        </is>
      </c>
      <c r="C8" s="6" t="inlineStr">
        <is>
          <t>МДУ-1С-R3</t>
        </is>
      </c>
      <c r="D8" s="6" t="inlineStr">
        <is>
          <t>шт</t>
        </is>
      </c>
      <c r="E8" s="6" t="n">
        <v>2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</row>
    <row r="9">
      <c r="A9" s="6" t="inlineStr">
        <is>
          <t>—</t>
        </is>
      </c>
      <c r="B9" s="6" t="inlineStr">
        <is>
          <t>Модуль релейный с контролем цепей / РМ-4</t>
        </is>
      </c>
      <c r="C9" s="6" t="inlineStr">
        <is>
          <t>РМ-K-R3 / РМ-4-R3</t>
        </is>
      </c>
      <c r="D9" s="6" t="inlineStr">
        <is>
          <t>шт</t>
        </is>
      </c>
      <c r="E9" s="6" t="n">
        <v>2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</row>
    <row r="10">
      <c r="D10" s="7" t="inlineStr">
        <is>
          <t>Итого</t>
        </is>
      </c>
      <c r="E10" s="7">
        <f>SUM(E6:E9)</f>
        <v/>
      </c>
      <c r="G10" s="7">
        <f>SUM(G6:G9)</f>
        <v/>
      </c>
    </row>
  </sheetData>
  <autoFilter ref="A5:R9"/>
  <conditionalFormatting sqref="F6:F9">
    <cfRule type="expression" priority="5" dxfId="1">
      <formula>$F6=""</formula>
    </cfRule>
  </conditionalFormatting>
  <conditionalFormatting sqref="L6:L9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3128, раздел ОС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03-91-1200-44-ОС.СО-001, ревизия 5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>
      <c r="A6" s="6" t="inlineStr">
        <is>
          <t>1.1</t>
        </is>
      </c>
      <c r="B6" s="6" t="inlineStr">
        <is>
          <t>Шкаф навесной IP66 500х400х200</t>
        </is>
      </c>
      <c r="C6" s="6" t="n"/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</row>
    <row r="7" ht="26.4" customHeight="1" s="19">
      <c r="A7" s="6" t="inlineStr">
        <is>
          <t>1.3</t>
        </is>
      </c>
      <c r="B7" s="6" t="inlineStr">
        <is>
          <t>Контроллер линейный системы охраны периметра</t>
        </is>
      </c>
      <c r="C7" s="6" t="inlineStr">
        <is>
          <t>Пунктир-ЛК-А (ТвинПро)</t>
        </is>
      </c>
      <c r="D7" s="6" t="inlineStr">
        <is>
          <t>шт</t>
        </is>
      </c>
      <c r="E7" s="6" t="n">
        <v>2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5" t="inlineStr">
        <is>
          <t>PO-219-TP-0001 1B, стр. 660–665 (скан, зав. № в тексте нет)</t>
        </is>
      </c>
    </row>
    <row r="8" ht="26.4" customHeight="1" s="19">
      <c r="A8" s="6" t="inlineStr">
        <is>
          <t>1.5</t>
        </is>
      </c>
      <c r="B8" s="6" t="inlineStr">
        <is>
          <t>Изолятор КЗ извещателя</t>
        </is>
      </c>
      <c r="C8" s="6" t="inlineStr">
        <is>
          <t>Пунктир КЗ-А</t>
        </is>
      </c>
      <c r="D8" s="6" t="inlineStr">
        <is>
          <t>шт</t>
        </is>
      </c>
      <c r="E8" s="6" t="n">
        <v>11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5" t="inlineStr">
        <is>
          <t>PO-219-TP-0001 1B, стр. 668–669 (скан, зав. № в тексте нет)</t>
        </is>
      </c>
    </row>
    <row r="9" ht="26.4" customHeight="1" s="19">
      <c r="A9" s="6" t="inlineStr">
        <is>
          <t>1.6</t>
        </is>
      </c>
      <c r="B9" s="6" t="inlineStr">
        <is>
          <t>Адресный модуль входов/выходов</t>
        </is>
      </c>
      <c r="C9" s="6" t="inlineStr">
        <is>
          <t>Пунктир-МВ-А</t>
        </is>
      </c>
      <c r="D9" s="6" t="inlineStr">
        <is>
          <t>шт</t>
        </is>
      </c>
      <c r="E9" s="6" t="n">
        <v>2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5" t="inlineStr">
        <is>
          <t>PO-219-TP-0001 1B, стр. 670–673 (скан, зав. № в тексте нет)</t>
        </is>
      </c>
    </row>
    <row r="10" ht="26.4" customHeight="1" s="19">
      <c r="A10" s="6" t="inlineStr">
        <is>
          <t>1.7</t>
        </is>
      </c>
      <c r="B10" s="6" t="inlineStr">
        <is>
          <t>Блок индикации</t>
        </is>
      </c>
      <c r="C10" s="6" t="inlineStr">
        <is>
          <t>Пунктир-БИ-А</t>
        </is>
      </c>
      <c r="D10" s="6" t="inlineStr">
        <is>
          <t>шт</t>
        </is>
      </c>
      <c r="E10" s="6" t="n">
        <v>1</v>
      </c>
      <c r="F10" s="6" t="n"/>
      <c r="G10" s="6" t="n">
        <v>0</v>
      </c>
      <c r="H10" s="6" t="n"/>
      <c r="I10" s="5" t="inlineStr">
        <is>
          <t>1828</t>
        </is>
      </c>
      <c r="J10" s="6" t="inlineStr">
        <is>
          <t>-</t>
        </is>
      </c>
      <c r="K10" s="6" t="inlineStr">
        <is>
          <t>-</t>
        </is>
      </c>
      <c r="L10" s="6">
        <f>IF(F10="",IF(J10="-","Нет зав. №, нет АоРПИ","Нет зав. №"),IF(G10&lt;E10,"Зав. № не все ("&amp;G10&amp;" из "&amp;E10&amp;")",IF(J10="-","Зав. № есть, АоРПИ нет",IF(K10="Подписан","ОК: зав. № + АоРПИ подписан","Зав. № есть, АоРПИ не подписан"))))</f>
        <v/>
      </c>
      <c r="M10" s="6" t="inlineStr">
        <is>
          <t>Есть в отклонённом RFI 1828</t>
        </is>
      </c>
      <c r="N10" s="5" t="inlineStr">
        <is>
          <t>PO-219-TP-0001 1B, стр. 674–677 (скан, зав. № в тексте нет)</t>
        </is>
      </c>
    </row>
    <row r="11" ht="26.4" customHeight="1" s="19">
      <c r="A11" s="6" t="inlineStr">
        <is>
          <t>1.8</t>
        </is>
      </c>
      <c r="B11" s="6" t="inlineStr">
        <is>
          <t>Релейный модуль</t>
        </is>
      </c>
      <c r="C11" s="6" t="inlineStr">
        <is>
          <t>ПУНКТИР РМ-У</t>
        </is>
      </c>
      <c r="D11" s="6" t="inlineStr">
        <is>
          <t>шт</t>
        </is>
      </c>
      <c r="E11" s="6" t="n">
        <v>1</v>
      </c>
      <c r="F11" s="6" t="n"/>
      <c r="G11" s="6" t="n">
        <v>0</v>
      </c>
      <c r="H11" s="6" t="n"/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>
        <f>IF(F11="",IF(J11="-","Нет зав. №, нет АоРПИ","Нет зав. №"),IF(G11&lt;E11,"Зав. № не все ("&amp;G11&amp;" из "&amp;E11&amp;")",IF(J11="-","Зав. № есть, АоРПИ нет",IF(K11="Подписан","ОК: зав. № + АоРПИ подписан","Зав. № есть, АоРПИ не подписан"))))</f>
        <v/>
      </c>
      <c r="M11" s="6" t="n"/>
      <c r="N11" s="5" t="inlineStr">
        <is>
          <t>PO-219-TP-0001 1B, стр. 678–680 (скан, зав. № в тексте нет)</t>
        </is>
      </c>
    </row>
    <row r="12" ht="26.4" customHeight="1" s="19">
      <c r="A12" s="6" t="inlineStr">
        <is>
          <t>1.10</t>
        </is>
      </c>
      <c r="B12" s="6" t="inlineStr">
        <is>
          <t>Извещатель оптико-электронный активный 4-лучевой 60 м</t>
        </is>
      </c>
      <c r="C12" s="6" t="inlineStr">
        <is>
          <t>SL-200QN (Optex)</t>
        </is>
      </c>
      <c r="D12" s="6" t="inlineStr">
        <is>
          <t>компл.</t>
        </is>
      </c>
      <c r="E12" s="6" t="n">
        <v>1</v>
      </c>
      <c r="F12" s="6" t="n"/>
      <c r="G12" s="6" t="n">
        <v>0</v>
      </c>
      <c r="H12" s="6" t="n"/>
      <c r="I12" s="5" t="inlineStr">
        <is>
          <t>1828</t>
        </is>
      </c>
      <c r="J12" s="6" t="inlineStr">
        <is>
          <t>-</t>
        </is>
      </c>
      <c r="K12" s="6" t="inlineStr">
        <is>
          <t>-</t>
        </is>
      </c>
      <c r="L12" s="6">
        <f>IF(F12="",IF(J12="-","Нет зав. №, нет АоРПИ","Нет зав. №"),IF(G12&lt;E12,"Зав. № не все ("&amp;G12&amp;" из "&amp;E12&amp;")",IF(J12="-","Зав. № есть, АоРПИ нет",IF(K12="Подписан","ОК: зав. № + АоРПИ подписан","Зав. № есть, АоРПИ не подписан"))))</f>
        <v/>
      </c>
      <c r="M12" s="6" t="inlineStr">
        <is>
          <t>Есть в отклонённом RFI 1828</t>
        </is>
      </c>
      <c r="N12" s="5" t="inlineStr">
        <is>
          <t>PO-219-TP-0001 1B, стр. 543–552 (скан, зав. № в тексте нет)</t>
        </is>
      </c>
    </row>
    <row r="13">
      <c r="A13" s="6" t="inlineStr">
        <is>
          <t>1.14</t>
        </is>
      </c>
      <c r="B13" s="6" t="inlineStr">
        <is>
          <t>АКБ 12 В 40 Ач</t>
        </is>
      </c>
      <c r="C13" s="6" t="inlineStr">
        <is>
          <t>DT 1240</t>
        </is>
      </c>
      <c r="D13" s="6" t="inlineStr">
        <is>
          <t>шт</t>
        </is>
      </c>
      <c r="E13" s="6" t="n">
        <v>4</v>
      </c>
      <c r="F13" s="6" t="n"/>
      <c r="G13" s="6" t="n">
        <v>0</v>
      </c>
      <c r="H13" s="6" t="n"/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>
        <f>IF(F13="",IF(J13="-","Нет зав. №, нет АоРПИ","Нет зав. №"),IF(G13&lt;E13,"Зав. № не все ("&amp;G13&amp;" из "&amp;E13&amp;")",IF(J13="-","Зав. № есть, АоРПИ нет",IF(K13="Подписан","ОК: зав. № + АоРПИ подписан","Зав. № есть, АоРПИ не подписан"))))</f>
        <v/>
      </c>
      <c r="M13" s="6" t="n"/>
      <c r="N13" s="6" t="n"/>
    </row>
    <row r="14" ht="26.4" customHeight="1" s="19">
      <c r="A14" s="6" t="inlineStr">
        <is>
          <t>1.15</t>
        </is>
      </c>
      <c r="B14" s="6" t="inlineStr">
        <is>
          <t>Устройство защиты цепей вторичного питания</t>
        </is>
      </c>
      <c r="C14" s="6" t="inlineStr">
        <is>
          <t>ГСД3-24 (Hakel)</t>
        </is>
      </c>
      <c r="D14" s="6" t="inlineStr">
        <is>
          <t>шт</t>
        </is>
      </c>
      <c r="E14" s="6" t="n">
        <v>1</v>
      </c>
      <c r="F14" s="6" t="n"/>
      <c r="G14" s="6" t="n">
        <v>0</v>
      </c>
      <c r="H14" s="6" t="n"/>
      <c r="I14" s="5" t="inlineStr">
        <is>
          <t>1828</t>
        </is>
      </c>
      <c r="J14" s="6" t="inlineStr">
        <is>
          <t>-</t>
        </is>
      </c>
      <c r="K14" s="6" t="inlineStr">
        <is>
          <t>-</t>
        </is>
      </c>
      <c r="L14" s="6">
        <f>IF(F14="",IF(J14="-","Нет зав. №, нет АоРПИ","Нет зав. №"),IF(G14&lt;E14,"Зав. № не все ("&amp;G14&amp;" из "&amp;E14&amp;")",IF(J14="-","Зав. № есть, АоРПИ нет",IF(K14="Подписан","ОК: зав. № + АоРПИ подписан","Зав. № есть, АоРПИ не подписан"))))</f>
        <v/>
      </c>
      <c r="M14" s="6" t="inlineStr">
        <is>
          <t>Есть в отклонённом RFI 1828</t>
        </is>
      </c>
      <c r="N14" s="5" t="inlineStr">
        <is>
          <t>PO-219-TP-0001 1B, стр. 282–283 (скан, зав. № в тексте нет)</t>
        </is>
      </c>
    </row>
    <row r="15">
      <c r="D15" s="7" t="inlineStr">
        <is>
          <t>Итого</t>
        </is>
      </c>
      <c r="E15" s="7">
        <f>SUM(E6:E14)</f>
        <v/>
      </c>
      <c r="G15" s="7">
        <f>SUM(G6:G14)</f>
        <v/>
      </c>
    </row>
  </sheetData>
  <autoFilter ref="A5:R14"/>
  <conditionalFormatting sqref="F6:F14">
    <cfRule type="expression" priority="5" dxfId="1">
      <formula>$F6=""</formula>
    </cfRule>
  </conditionalFormatting>
  <conditionalFormatting sqref="L6:L14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N7" r:id="rId1"/>
    <hyperlink xmlns:r="http://schemas.openxmlformats.org/officeDocument/2006/relationships" ref="N8" r:id="rId2"/>
    <hyperlink xmlns:r="http://schemas.openxmlformats.org/officeDocument/2006/relationships" ref="N9" r:id="rId3"/>
    <hyperlink xmlns:r="http://schemas.openxmlformats.org/officeDocument/2006/relationships" ref="I10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I12" r:id="rId7"/>
    <hyperlink xmlns:r="http://schemas.openxmlformats.org/officeDocument/2006/relationships" ref="N12" r:id="rId8"/>
    <hyperlink xmlns:r="http://schemas.openxmlformats.org/officeDocument/2006/relationships" ref="I14" r:id="rId9"/>
    <hyperlink xmlns:r="http://schemas.openxmlformats.org/officeDocument/2006/relationships" ref="N14" r:id="rId10"/>
  </hyperlink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3128, раздел СОО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03-91-1200-44-СОО.СО-001, ревизия 5 (.docx)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Шкаф распределительный охранного освещения IP31</t>
        </is>
      </c>
      <c r="C6" s="6" t="n"/>
      <c r="D6" s="6" t="inlineStr">
        <is>
          <t>шт</t>
        </is>
      </c>
      <c r="E6" s="6" t="n">
        <v>1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6" t="n"/>
    </row>
    <row r="7">
      <c r="A7" s="6" t="inlineStr">
        <is>
          <t>1.2</t>
        </is>
      </c>
      <c r="B7" s="6" t="inlineStr">
        <is>
          <t>Контроллер линии светильников (до 126 шт)</t>
        </is>
      </c>
      <c r="C7" s="6" t="n"/>
      <c r="D7" s="6" t="inlineStr">
        <is>
          <t>шт</t>
        </is>
      </c>
      <c r="E7" s="6" t="n">
        <v>1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6" t="n"/>
    </row>
    <row r="8">
      <c r="A8" s="6" t="inlineStr">
        <is>
          <t>1.3</t>
        </is>
      </c>
      <c r="B8" s="6" t="inlineStr">
        <is>
          <t>Релейный модуль</t>
        </is>
      </c>
      <c r="C8" s="6" t="n"/>
      <c r="D8" s="6" t="inlineStr">
        <is>
          <t>шт</t>
        </is>
      </c>
      <c r="E8" s="6" t="n">
        <v>1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6" t="n"/>
    </row>
    <row r="9">
      <c r="A9" s="6" t="inlineStr">
        <is>
          <t>1.4</t>
        </is>
      </c>
      <c r="B9" s="6" t="inlineStr">
        <is>
          <t>Источник бесперебойного питания 12 В 6 А</t>
        </is>
      </c>
      <c r="C9" s="6" t="n"/>
      <c r="D9" s="6" t="inlineStr">
        <is>
          <t>шт</t>
        </is>
      </c>
      <c r="E9" s="6" t="n">
        <v>1</v>
      </c>
      <c r="F9" s="6" t="n"/>
      <c r="G9" s="6" t="n">
        <v>0</v>
      </c>
      <c r="H9" s="6" t="n"/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>
        <f>IF(F9="",IF(J9="-","Нет зав. №, нет АоРПИ","Нет зав. №"),IF(G9&lt;E9,"Зав. № не все ("&amp;G9&amp;" из "&amp;E9&amp;")",IF(J9="-","Зав. № есть, АоРПИ нет",IF(K9="Подписан","ОК: зав. № + АоРПИ подписан","Зав. № есть, АоРПИ не подписан"))))</f>
        <v/>
      </c>
      <c r="M9" s="6" t="n"/>
      <c r="N9" s="6" t="n"/>
    </row>
    <row r="10">
      <c r="D10" s="7" t="inlineStr">
        <is>
          <t>Итого</t>
        </is>
      </c>
      <c r="E10" s="7">
        <f>SUM(E6:E9)</f>
        <v/>
      </c>
      <c r="G10" s="7">
        <f>SUM(G6:G9)</f>
        <v/>
      </c>
    </row>
  </sheetData>
  <autoFilter ref="A5:R9"/>
  <conditionalFormatting sqref="F6:F9">
    <cfRule type="expression" priority="5" dxfId="1">
      <formula>$F6=""</formula>
    </cfRule>
  </conditionalFormatting>
  <conditionalFormatting sqref="L6:L9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8.6640625" defaultRowHeight="14.4"/>
  <cols>
    <col width="20" customWidth="1" style="19" min="1" max="1"/>
    <col width="44" customWidth="1" style="19" min="2" max="2"/>
    <col width="26" customWidth="1" style="19" min="3" max="3"/>
    <col width="7" customWidth="1" style="19" min="4" max="4"/>
    <col width="9" customWidth="1" style="19" min="5" max="5"/>
    <col width="34" customWidth="1" style="19" min="6" max="6"/>
    <col width="10" customWidth="1" style="19" min="7" max="7"/>
    <col width="18" customWidth="1" style="19" min="8" max="8"/>
    <col width="14" customWidth="1" style="19" min="9" max="9"/>
    <col width="26" customWidth="1" style="19" min="10" max="10"/>
    <col width="16" customWidth="1" style="19" min="11" max="11"/>
    <col width="26" customWidth="1" style="19" min="12" max="12"/>
    <col width="46" customWidth="1" style="19" min="13" max="13"/>
    <col width="36" customWidth="1" style="19" min="14" max="14"/>
    <col width="22" customWidth="1" style="19" min="15" max="15"/>
    <col width="24" customWidth="1" style="19" min="16" max="16"/>
    <col width="40" customWidth="1" style="19" min="17" max="17"/>
    <col width="44" customWidth="1" style="19" min="18" max="18"/>
  </cols>
  <sheetData>
    <row r="1" ht="15.6" customHeight="1" s="19">
      <c r="A1" s="10" t="inlineStr">
        <is>
          <t>Титул 3128, раздел СОТ — оборудование (раздел «Оборудование» спецификации), заводские номера и АоРПИ</t>
        </is>
      </c>
    </row>
    <row r="2">
      <c r="A2" s="14" t="inlineStr">
        <is>
          <t>СО: 03-91-1200-44-СОТ.СО-001, ревизия 5 (.xlsx)</t>
        </is>
      </c>
    </row>
    <row r="3">
      <c r="A3" s="2" t="inlineStr">
        <is>
          <t>Зав. № и АоРПИ собраны из папок Nextcloud: 2.Incoming control (1.Closed — подписан, 2.Open — не подписан), 1.RFI/CHENGDA, _Текст для поиска. «-» в столбце АоРПИ — акта в папке ВК нет.</t>
        </is>
      </c>
    </row>
    <row r="5" ht="42" customHeight="1" s="19">
      <c r="A5" s="4" t="inlineStr">
        <is>
          <t>Поз. / тег</t>
        </is>
      </c>
      <c r="B5" s="4" t="inlineStr">
        <is>
          <t>Наименование (по СО)</t>
        </is>
      </c>
      <c r="C5" s="4" t="inlineStr">
        <is>
          <t>Тип, марка</t>
        </is>
      </c>
      <c r="D5" s="4" t="inlineStr">
        <is>
          <t>Ед.</t>
        </is>
      </c>
      <c r="E5" s="4" t="inlineStr">
        <is>
          <t>Кол-во по СО</t>
        </is>
      </c>
      <c r="F5" s="4" t="inlineStr">
        <is>
          <t>Заводской № (пусто — не найден)</t>
        </is>
      </c>
      <c r="G5" s="4" t="inlineStr">
        <is>
          <t>Найдено зав. №, шт</t>
        </is>
      </c>
      <c r="H5" s="4" t="inlineStr">
        <is>
          <t>Источник зав. №</t>
        </is>
      </c>
      <c r="I5" s="4" t="inlineStr">
        <is>
          <t>RFI</t>
        </is>
      </c>
      <c r="J5" s="4" t="inlineStr">
        <is>
          <t>АоРПИ (- если нет)</t>
        </is>
      </c>
      <c r="K5" s="4" t="inlineStr">
        <is>
          <t>Статус АоРПИ</t>
        </is>
      </c>
      <c r="L5" s="4" t="inlineStr">
        <is>
          <t>Итог</t>
        </is>
      </c>
      <c r="M5" s="4" t="inlineStr">
        <is>
          <t>Примечание</t>
        </is>
      </c>
      <c r="N5" s="4" t="inlineStr">
        <is>
          <t>Паспорт (TP)</t>
        </is>
      </c>
      <c r="O5" s="4" t="inlineStr">
        <is>
          <t>RFI по сводной 17.08.2026</t>
        </is>
      </c>
      <c r="P5" s="4" t="inlineStr">
        <is>
          <t>АоРПИ по сводной 17.08.2026</t>
        </is>
      </c>
      <c r="Q5" s="4" t="inlineStr">
        <is>
          <t>Замечание из сводной 17.08.2026</t>
        </is>
      </c>
      <c r="R5" s="4" t="inlineStr">
        <is>
          <t>Сверка со сводной 17.08.2026</t>
        </is>
      </c>
    </row>
    <row r="6" ht="26.4" customHeight="1" s="19">
      <c r="A6" s="6" t="inlineStr">
        <is>
          <t>1.1</t>
        </is>
      </c>
      <c r="B6" s="6" t="inlineStr">
        <is>
          <t>Шкаф уличный с коммутатором PoE, кроссом и ИБП</t>
        </is>
      </c>
      <c r="C6" s="6" t="inlineStr">
        <is>
          <t>PSW-2G+UPS-Box (TFortis)</t>
        </is>
      </c>
      <c r="D6" s="6" t="inlineStr">
        <is>
          <t>шт</t>
        </is>
      </c>
      <c r="E6" s="6" t="n">
        <v>6</v>
      </c>
      <c r="F6" s="6" t="n"/>
      <c r="G6" s="6" t="n">
        <v>0</v>
      </c>
      <c r="H6" s="6" t="n"/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>
        <f>IF(F6="",IF(J6="-","Нет зав. №, нет АоРПИ","Нет зав. №"),IF(G6&lt;E6,"Зав. № не все ("&amp;G6&amp;" из "&amp;E6&amp;")",IF(J6="-","Зав. № есть, АоРПИ нет",IF(K6="Подписан","ОК: зав. № + АоРПИ подписан","Зав. № есть, АоРПИ не подписан"))))</f>
        <v/>
      </c>
      <c r="M6" s="6" t="n"/>
      <c r="N6" s="5" t="inlineStr">
        <is>
          <t>PO-219-TP-0001 1B, стр. 636–647 (скан, зав. № в тексте нет)</t>
        </is>
      </c>
    </row>
    <row r="7" ht="26.4" customHeight="1" s="19">
      <c r="A7" s="6" t="inlineStr">
        <is>
          <t>1.4</t>
        </is>
      </c>
      <c r="B7" s="6" t="inlineStr">
        <is>
          <t>IP-видеокамера уличная вариофокальная</t>
        </is>
      </c>
      <c r="C7" s="6" t="inlineStr">
        <is>
          <t>IPTRONIC</t>
        </is>
      </c>
      <c r="D7" s="6" t="inlineStr">
        <is>
          <t>шт</t>
        </is>
      </c>
      <c r="E7" s="6" t="n">
        <v>10</v>
      </c>
      <c r="F7" s="6" t="n"/>
      <c r="G7" s="6" t="n">
        <v>0</v>
      </c>
      <c r="H7" s="6" t="n"/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>
        <f>IF(F7="",IF(J7="-","Нет зав. №, нет АоРПИ","Нет зав. №"),IF(G7&lt;E7,"Зав. № не все ("&amp;G7&amp;" из "&amp;E7&amp;")",IF(J7="-","Зав. № есть, АоРПИ нет",IF(K7="Подписан","ОК: зав. № + АоРПИ подписан","Зав. № есть, АоРПИ не подписан"))))</f>
        <v/>
      </c>
      <c r="M7" s="6" t="n"/>
      <c r="N7" s="5" t="inlineStr">
        <is>
          <t>PO-219-TP-0001 1B, IPTS-IPBM5002/5035 стр. 296–304 (скан)</t>
        </is>
      </c>
    </row>
    <row r="8" ht="26.4" customHeight="1" s="19">
      <c r="A8" s="6" t="inlineStr">
        <is>
          <t>1.5</t>
        </is>
      </c>
      <c r="B8" s="6" t="inlineStr">
        <is>
          <t>Поворотная купольная IP-видеокамера</t>
        </is>
      </c>
      <c r="C8" s="6" t="inlineStr">
        <is>
          <t>IPTS-IPZM5025 (IPTRONIC)</t>
        </is>
      </c>
      <c r="D8" s="6" t="inlineStr">
        <is>
          <t>шт</t>
        </is>
      </c>
      <c r="E8" s="6" t="n">
        <v>2</v>
      </c>
      <c r="F8" s="6" t="n"/>
      <c r="G8" s="6" t="n">
        <v>0</v>
      </c>
      <c r="H8" s="6" t="n"/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>
        <f>IF(F8="",IF(J8="-","Нет зав. №, нет АоРПИ","Нет зав. №"),IF(G8&lt;E8,"Зав. № не все ("&amp;G8&amp;" из "&amp;E8&amp;")",IF(J8="-","Зав. № есть, АоРПИ нет",IF(K8="Подписан","ОК: зав. № + АоРПИ подписан","Зав. № есть, АоРПИ не подписан"))))</f>
        <v/>
      </c>
      <c r="M8" s="6" t="n"/>
      <c r="N8" s="5" t="inlineStr">
        <is>
          <t>PO-219-TP-0001 1B, стр. 309–314 (скан, зав. № в тексте нет)</t>
        </is>
      </c>
    </row>
    <row r="9">
      <c r="D9" s="7" t="inlineStr">
        <is>
          <t>Итого</t>
        </is>
      </c>
      <c r="E9" s="7">
        <f>SUM(E6:E8)</f>
        <v/>
      </c>
      <c r="G9" s="7">
        <f>SUM(G6:G8)</f>
        <v/>
      </c>
    </row>
  </sheetData>
  <autoFilter ref="A5:R8"/>
  <conditionalFormatting sqref="F6:F8">
    <cfRule type="expression" priority="5" dxfId="1">
      <formula>$F6=""</formula>
    </cfRule>
  </conditionalFormatting>
  <conditionalFormatting sqref="L6:L8">
    <cfRule type="expression" priority="2" dxfId="2">
      <formula>LEFT($L6,2)="ОК"</formula>
    </cfRule>
    <cfRule type="expression" priority="3" dxfId="1">
      <formula>LEFT($L6,4)="Нет "</formula>
    </cfRule>
    <cfRule type="expression" priority="4" dxfId="0">
      <formula>LEFT($L6,5)="Зав. "</formula>
    </cfRule>
  </conditionalFormatting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</hyperlinks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9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30" customWidth="1" style="19" min="1" max="1"/>
    <col width="8" customWidth="1" style="19" min="2" max="2"/>
    <col width="10" customWidth="1" style="19" min="3" max="3"/>
    <col width="14" customWidth="1" style="19" min="4" max="4"/>
    <col width="12" customWidth="1" style="19" min="5" max="5"/>
    <col width="80" customWidth="1" style="19" min="6" max="6"/>
    <col width="10" customWidth="1" style="19" min="7" max="7"/>
    <col width="34" customWidth="1" style="19" min="8" max="8"/>
  </cols>
  <sheetData>
    <row r="1" ht="15.6" customHeight="1" s="19">
      <c r="A1" s="10" t="inlineStr">
        <is>
          <t>АоРПИ по титулам главной подстанции (3120, 3121, 3123, 3126, 3128) — оборудование, электрика, слаботочка, ОВ/ВК</t>
        </is>
      </c>
    </row>
    <row r="2">
      <c r="A2" s="2" t="inlineStr">
        <is>
          <t>Статусы по папкам на 28.09.2026: Sharepoint/…/2.Incoming control/1.Closed — подписан; 2.Open — не подписан; акты в формате разработки из SMB-46/PTO/Alfa-prom/Входной контроль (База Данных), которых нет в 2.Open, — тоже «Не подписан», в столбце «Где лежит» отмечены красным (не загружены в 2.Open). Акты КЖ/КМ/ЭГ/АР (материалы) не включены.</t>
        </is>
      </c>
    </row>
    <row r="4" ht="42" customHeight="1" s="19">
      <c r="A4" s="4" t="inlineStr">
        <is>
          <t>АоРПИ №</t>
        </is>
      </c>
      <c r="B4" s="4" t="inlineStr">
        <is>
          <t>Титул</t>
        </is>
      </c>
      <c r="C4" s="4" t="inlineStr">
        <is>
          <t>Раздел</t>
        </is>
      </c>
      <c r="D4" s="4" t="inlineStr">
        <is>
          <t>Статус</t>
        </is>
      </c>
      <c r="E4" s="4" t="inlineStr">
        <is>
          <t>Дата</t>
        </is>
      </c>
      <c r="F4" s="4" t="inlineStr">
        <is>
          <t>Что проверялось</t>
        </is>
      </c>
      <c r="G4" s="4" t="inlineStr">
        <is>
          <t>Папка</t>
        </is>
      </c>
      <c r="H4" s="4" t="inlineStr">
        <is>
          <t>Где лежит</t>
        </is>
      </c>
    </row>
    <row r="5">
      <c r="A5" s="6" t="inlineStr">
        <is>
          <t>781-3120-АИИСКУЭ-ВК-ЧНД</t>
        </is>
      </c>
      <c r="B5" s="6" t="inlineStr">
        <is>
          <t>3120</t>
        </is>
      </c>
      <c r="C5" s="6" t="inlineStr">
        <is>
          <t>АИИСКУЭ</t>
        </is>
      </c>
      <c r="D5" s="11" t="inlineStr">
        <is>
          <t>Не подписан</t>
        </is>
      </c>
      <c r="E5" s="6" t="inlineStr">
        <is>
          <t>21.04.2026</t>
        </is>
      </c>
      <c r="F5" s="6" t="inlineStr">
        <is>
          <t>Шкаф АИИС КУЭ «Бреслер-0117.948.01» (зав. № в акте нет)</t>
        </is>
      </c>
      <c r="G5" s="5" t="inlineStr">
        <is>
          <t>открыть</t>
        </is>
      </c>
      <c r="H5" s="6" t="inlineStr">
        <is>
          <t>2.Open</t>
        </is>
      </c>
    </row>
    <row r="6" ht="26.4" customHeight="1" s="19">
      <c r="A6" s="6" t="inlineStr">
        <is>
          <t>763-3120-АСУЭ-ВК-ЧНД</t>
        </is>
      </c>
      <c r="B6" s="6" t="inlineStr">
        <is>
          <t>3120</t>
        </is>
      </c>
      <c r="C6" s="6" t="inlineStr">
        <is>
          <t>АСУЭ</t>
        </is>
      </c>
      <c r="D6" s="15" t="inlineStr">
        <is>
          <t>Подписан</t>
        </is>
      </c>
      <c r="E6" s="6" t="inlineStr">
        <is>
          <t>21.04.2026</t>
        </is>
      </c>
      <c r="F6" s="6" t="inlineStr">
        <is>
          <t>Шкафы АСУЭ ИНБРЭС (ШСО, ШКП, ШПДС, ШИП, ШСК), СМиД, TDM, Бреслер-0117.948.01 — с зав. №</t>
        </is>
      </c>
      <c r="G6" s="5" t="inlineStr">
        <is>
          <t>открыть</t>
        </is>
      </c>
      <c r="H6" s="6" t="inlineStr">
        <is>
          <t>1.Closed</t>
        </is>
      </c>
    </row>
    <row r="7">
      <c r="A7" s="6" t="inlineStr">
        <is>
          <t>808-3120-АСУЭ-ВК-ЧНД</t>
        </is>
      </c>
      <c r="B7" s="6" t="inlineStr">
        <is>
          <t>3120</t>
        </is>
      </c>
      <c r="C7" s="6" t="inlineStr">
        <is>
          <t>АСУЭ</t>
        </is>
      </c>
      <c r="D7" s="11" t="inlineStr">
        <is>
          <t>Не подписан</t>
        </is>
      </c>
      <c r="E7" s="6" t="inlineStr">
        <is>
          <t>04.04.2026</t>
        </is>
      </c>
      <c r="F7" s="6" t="inlineStr">
        <is>
          <t>Кабель КИС-Внг(А)-LS 2х2х0,60</t>
        </is>
      </c>
      <c r="G7" s="5" t="inlineStr">
        <is>
          <t>открыть</t>
        </is>
      </c>
      <c r="H7" s="6" t="inlineStr">
        <is>
          <t>2.Open</t>
        </is>
      </c>
    </row>
    <row r="8">
      <c r="A8" s="6" t="inlineStr">
        <is>
          <t>817-3120-АСУЭ-ВК-ЧНД</t>
        </is>
      </c>
      <c r="B8" s="6" t="inlineStr">
        <is>
          <t>3120</t>
        </is>
      </c>
      <c r="C8" s="6" t="inlineStr">
        <is>
          <t>АСУЭ</t>
        </is>
      </c>
      <c r="D8" s="15" t="inlineStr">
        <is>
          <t>Подписан</t>
        </is>
      </c>
      <c r="E8" s="6" t="inlineStr">
        <is>
          <t>28.04.2026</t>
        </is>
      </c>
      <c r="F8" s="6" t="inlineStr">
        <is>
          <t>ВОК-компоненты TELCORD, мачта МА50, кронштейн МА41</t>
        </is>
      </c>
      <c r="G8" s="5" t="inlineStr">
        <is>
          <t>открыть</t>
        </is>
      </c>
      <c r="H8" s="6" t="inlineStr">
        <is>
          <t>1.Closed</t>
        </is>
      </c>
    </row>
    <row r="9">
      <c r="A9" s="6" t="inlineStr">
        <is>
          <t>1090-3120-АСУЭ-ВК-ЧНД</t>
        </is>
      </c>
      <c r="B9" s="6" t="inlineStr">
        <is>
          <t>3120</t>
        </is>
      </c>
      <c r="C9" s="6" t="inlineStr">
        <is>
          <t>АСУЭ</t>
        </is>
      </c>
      <c r="D9" s="11" t="inlineStr">
        <is>
          <t>Не подписан</t>
        </is>
      </c>
      <c r="E9" s="6" t="inlineStr">
        <is>
          <t>26.06.2026</t>
        </is>
      </c>
      <c r="F9" s="6" t="inlineStr">
        <is>
          <t>Кабель FTP cat 5e 4x2x0,51</t>
        </is>
      </c>
      <c r="G9" s="5" t="inlineStr">
        <is>
          <t>открыть</t>
        </is>
      </c>
      <c r="H9" s="6" t="inlineStr">
        <is>
          <t>2.Open</t>
        </is>
      </c>
    </row>
    <row r="10" ht="26.4" customHeight="1" s="19">
      <c r="A10" s="6" t="inlineStr">
        <is>
          <t>526-3120-КЭ-ЧНД</t>
        </is>
      </c>
      <c r="B10" s="6" t="inlineStr">
        <is>
          <t>3120</t>
        </is>
      </c>
      <c r="C10" s="6" t="inlineStr">
        <is>
          <t>КЭ</t>
        </is>
      </c>
      <c r="D10" s="11" t="inlineStr">
        <is>
          <t>Не подписан</t>
        </is>
      </c>
      <c r="E10" s="6" t="inlineStr">
        <is>
          <t>12.01.2026</t>
        </is>
      </c>
      <c r="F10" s="6" t="inlineStr">
        <is>
          <t>Кран электрический однобалочный подвесной FHU10t со шкафом управления, поз. 03L1201</t>
        </is>
      </c>
      <c r="G10" s="5" t="inlineStr">
        <is>
          <t>открыть</t>
        </is>
      </c>
      <c r="H10" s="18" t="inlineStr">
        <is>
          <t>База данных Альфа-пром — в 2.Open НЕ загружен</t>
        </is>
      </c>
    </row>
    <row r="11">
      <c r="A11" s="6" t="inlineStr">
        <is>
          <t>477-3120-ТР-ЧНД</t>
        </is>
      </c>
      <c r="B11" s="6" t="inlineStr">
        <is>
          <t>3120</t>
        </is>
      </c>
      <c r="C11" s="6" t="inlineStr">
        <is>
          <t>ТР</t>
        </is>
      </c>
      <c r="D11" s="15" t="inlineStr">
        <is>
          <t>Подписан</t>
        </is>
      </c>
      <c r="E11" s="6" t="inlineStr">
        <is>
          <t>11.12.2025</t>
        </is>
      </c>
      <c r="F11" s="6" t="inlineStr">
        <is>
          <t>Трансформатор ТРДН-63000/220-УХЛ1, зав. № 005214V, поз. 0312TRE01</t>
        </is>
      </c>
      <c r="G11" s="5" t="inlineStr">
        <is>
          <t>открыть</t>
        </is>
      </c>
      <c r="H11" s="6" t="inlineStr">
        <is>
          <t>1.Closed</t>
        </is>
      </c>
    </row>
    <row r="12">
      <c r="A12" s="6" t="inlineStr">
        <is>
          <t>478-3120-ТР-ЧНД</t>
        </is>
      </c>
      <c r="B12" s="6" t="inlineStr">
        <is>
          <t>3120</t>
        </is>
      </c>
      <c r="C12" s="6" t="inlineStr">
        <is>
          <t>ТР</t>
        </is>
      </c>
      <c r="D12" s="15" t="inlineStr">
        <is>
          <t>Подписан</t>
        </is>
      </c>
      <c r="E12" s="6" t="inlineStr">
        <is>
          <t>11.12.2025</t>
        </is>
      </c>
      <c r="F12" s="6" t="inlineStr">
        <is>
          <t>Трансформатор ТРДН-63000/220-УХЛ1, зав. № 005215V, поз. 0312TRE02</t>
        </is>
      </c>
      <c r="G12" s="5" t="inlineStr">
        <is>
          <t>открыть</t>
        </is>
      </c>
      <c r="H12" s="6" t="inlineStr">
        <is>
          <t>1.Closed</t>
        </is>
      </c>
    </row>
    <row r="13">
      <c r="A13" s="6" t="inlineStr">
        <is>
          <t>649-3120-ЭО-ВК-ЧНД</t>
        </is>
      </c>
      <c r="B13" s="6" t="inlineStr">
        <is>
          <t>3120</t>
        </is>
      </c>
      <c r="C13" s="6" t="inlineStr">
        <is>
          <t>ЭО</t>
        </is>
      </c>
      <c r="D13" s="11" t="inlineStr">
        <is>
          <t>Не подписан</t>
        </is>
      </c>
      <c r="E13" s="6" t="inlineStr">
        <is>
          <t>26.01.2026</t>
        </is>
      </c>
      <c r="F13" s="6" t="inlineStr">
        <is>
          <t>Провод ПуГВнг(А)-LS 1х6</t>
        </is>
      </c>
      <c r="G13" s="5" t="inlineStr">
        <is>
          <t>открыть</t>
        </is>
      </c>
      <c r="H13" s="6" t="inlineStr">
        <is>
          <t>2.Open</t>
        </is>
      </c>
    </row>
    <row r="14">
      <c r="A14" s="6" t="inlineStr">
        <is>
          <t>653-3120-ЭО-ВК-ЧНД</t>
        </is>
      </c>
      <c r="B14" s="6" t="inlineStr">
        <is>
          <t>3120</t>
        </is>
      </c>
      <c r="C14" s="6" t="inlineStr">
        <is>
          <t>ЭО</t>
        </is>
      </c>
      <c r="D14" s="15" t="inlineStr">
        <is>
          <t>Подписан</t>
        </is>
      </c>
      <c r="E14" s="6" t="inlineStr">
        <is>
          <t>20.01.2026</t>
        </is>
      </c>
      <c r="F14" s="6" t="inlineStr">
        <is>
          <t>Наконечник ТМ 6-5-4-М-УХЛ3</t>
        </is>
      </c>
      <c r="G14" s="5" t="inlineStr">
        <is>
          <t>открыть</t>
        </is>
      </c>
      <c r="H14" s="6" t="inlineStr">
        <is>
          <t>1.Closed</t>
        </is>
      </c>
    </row>
    <row r="15">
      <c r="A15" s="6" t="inlineStr">
        <is>
          <t>682-3120-ЭО-ВК-ЧНД</t>
        </is>
      </c>
      <c r="B15" s="6" t="inlineStr">
        <is>
          <t>3120</t>
        </is>
      </c>
      <c r="C15" s="6" t="inlineStr">
        <is>
          <t>ЭО</t>
        </is>
      </c>
      <c r="D15" s="11" t="inlineStr">
        <is>
          <t>Не подписан</t>
        </is>
      </c>
      <c r="E15" s="6" t="inlineStr">
        <is>
          <t>16.02.2026</t>
        </is>
      </c>
      <c r="F15" s="6" t="inlineStr">
        <is>
          <t>Электроустановочные изделия (коробки, выключатели, розетки, гофротруба)</t>
        </is>
      </c>
      <c r="G15" s="5" t="inlineStr">
        <is>
          <t>открыть</t>
        </is>
      </c>
      <c r="H15" s="6" t="inlineStr">
        <is>
          <t>2.Open</t>
        </is>
      </c>
    </row>
    <row r="16">
      <c r="A16" s="6" t="inlineStr">
        <is>
          <t>823-3120-ЭО-ВК-ЧНД</t>
        </is>
      </c>
      <c r="B16" s="6" t="inlineStr">
        <is>
          <t>3120</t>
        </is>
      </c>
      <c r="C16" s="6" t="inlineStr">
        <is>
          <t>ЭО</t>
        </is>
      </c>
      <c r="D16" s="15" t="inlineStr">
        <is>
          <t>Подписан</t>
        </is>
      </c>
      <c r="E16" s="6" t="inlineStr">
        <is>
          <t>28.04.2026</t>
        </is>
      </c>
      <c r="F16" s="6" t="inlineStr">
        <is>
          <t>Блок аварийного питания CONVERSION KIT LED 70W</t>
        </is>
      </c>
      <c r="G16" s="5" t="inlineStr">
        <is>
          <t>открыть</t>
        </is>
      </c>
      <c r="H16" s="6" t="inlineStr">
        <is>
          <t>1.Closed</t>
        </is>
      </c>
    </row>
    <row r="17">
      <c r="A17" s="6" t="inlineStr">
        <is>
          <t>859-3120-ЭО-ВК-ЧНД</t>
        </is>
      </c>
      <c r="B17" s="6" t="inlineStr">
        <is>
          <t>3120</t>
        </is>
      </c>
      <c r="C17" s="6" t="inlineStr">
        <is>
          <t>ЭО</t>
        </is>
      </c>
      <c r="D17" s="15" t="inlineStr">
        <is>
          <t>Подписан</t>
        </is>
      </c>
      <c r="E17" s="6" t="inlineStr">
        <is>
          <t>28.04.2026</t>
        </is>
      </c>
      <c r="F17" s="6" t="inlineStr">
        <is>
          <t>Лотки, крышки, скобы</t>
        </is>
      </c>
      <c r="G17" s="5" t="inlineStr">
        <is>
          <t>открыть</t>
        </is>
      </c>
      <c r="H17" s="6" t="inlineStr">
        <is>
          <t>1.Closed</t>
        </is>
      </c>
    </row>
    <row r="18">
      <c r="A18" s="6" t="inlineStr">
        <is>
          <t>864-3120-ЭО-ВК-ЧНД</t>
        </is>
      </c>
      <c r="B18" s="6" t="inlineStr">
        <is>
          <t>3120</t>
        </is>
      </c>
      <c r="C18" s="6" t="inlineStr">
        <is>
          <t>ЭО</t>
        </is>
      </c>
      <c r="D18" s="15" t="inlineStr">
        <is>
          <t>Подписан</t>
        </is>
      </c>
      <c r="E18" s="6" t="inlineStr">
        <is>
          <t>19.05.2026</t>
        </is>
      </c>
      <c r="F18" s="6" t="inlineStr">
        <is>
          <t>Переключатели модульные, металлорукав, профили, розетки PSS</t>
        </is>
      </c>
      <c r="G18" s="5" t="inlineStr">
        <is>
          <t>открыть</t>
        </is>
      </c>
      <c r="H18" s="6" t="inlineStr">
        <is>
          <t>1.Closed</t>
        </is>
      </c>
    </row>
    <row r="19">
      <c r="A19" s="6" t="inlineStr">
        <is>
          <t>1070-3120-ЭО-ВК-ЧНД</t>
        </is>
      </c>
      <c r="B19" s="6" t="inlineStr">
        <is>
          <t>3120</t>
        </is>
      </c>
      <c r="C19" s="6" t="inlineStr">
        <is>
          <t>ЭО</t>
        </is>
      </c>
      <c r="D19" s="11" t="inlineStr">
        <is>
          <t>Не подписан</t>
        </is>
      </c>
      <c r="E19" s="6" t="inlineStr">
        <is>
          <t>16.01.2026</t>
        </is>
      </c>
      <c r="F19" s="6" t="inlineStr">
        <is>
          <t>Светильники (тройная защита, стационарные LED, аварийные лампы)</t>
        </is>
      </c>
      <c r="G19" s="5" t="inlineStr">
        <is>
          <t>открыть</t>
        </is>
      </c>
      <c r="H19" s="6" t="inlineStr">
        <is>
          <t>2.Open</t>
        </is>
      </c>
    </row>
    <row r="20">
      <c r="A20" s="6" t="inlineStr">
        <is>
          <t>1071-3120-ЭО-ВК-ЧНД</t>
        </is>
      </c>
      <c r="B20" s="6" t="inlineStr">
        <is>
          <t>3120</t>
        </is>
      </c>
      <c r="C20" s="6" t="inlineStr">
        <is>
          <t>ЭО</t>
        </is>
      </c>
      <c r="D20" s="15" t="inlineStr">
        <is>
          <t>Подписан</t>
        </is>
      </c>
      <c r="E20" s="6" t="inlineStr">
        <is>
          <t>29.01.2026</t>
        </is>
      </c>
      <c r="F20" s="6" t="inlineStr">
        <is>
          <t>Кабель WDZA-YJY LS/FRLS</t>
        </is>
      </c>
      <c r="G20" s="5" t="inlineStr">
        <is>
          <t>открыть</t>
        </is>
      </c>
      <c r="H20" s="6" t="inlineStr">
        <is>
          <t>1.Closed</t>
        </is>
      </c>
    </row>
    <row r="21" ht="26.4" customHeight="1" s="19">
      <c r="A21" s="6" t="inlineStr">
        <is>
          <t>1271-3120-ЭО-ВК-ЧНД</t>
        </is>
      </c>
      <c r="B21" s="6" t="inlineStr">
        <is>
          <t>3120</t>
        </is>
      </c>
      <c r="C21" s="6" t="inlineStr">
        <is>
          <t>ЭО</t>
        </is>
      </c>
      <c r="D21" s="11" t="inlineStr">
        <is>
          <t>Не подписан</t>
        </is>
      </c>
      <c r="E21" s="6" t="inlineStr">
        <is>
          <t>07.03.2026</t>
        </is>
      </c>
      <c r="F21" s="6" t="inlineStr">
        <is>
          <t>С-профиль 41х21 L300</t>
        </is>
      </c>
      <c r="G21" s="5" t="inlineStr">
        <is>
          <t>открыть</t>
        </is>
      </c>
      <c r="H21" s="18" t="inlineStr">
        <is>
          <t>База данных Альфа-пром — в 2.Open НЕ загружен</t>
        </is>
      </c>
    </row>
    <row r="22">
      <c r="A22" s="6" t="inlineStr">
        <is>
          <t>702-3120-ЭС1-ВК-ЧНД</t>
        </is>
      </c>
      <c r="B22" s="6" t="inlineStr">
        <is>
          <t>3120</t>
        </is>
      </c>
      <c r="C22" s="6" t="inlineStr">
        <is>
          <t>ЭС1</t>
        </is>
      </c>
      <c r="D22" s="15" t="inlineStr">
        <is>
          <t>Подписан</t>
        </is>
      </c>
      <c r="E22" s="6" t="inlineStr">
        <is>
          <t>20.01.2026</t>
        </is>
      </c>
      <c r="F22" s="6" t="inlineStr">
        <is>
          <t>Провод АС 300/66, зав. № 25ТТ-44, 0,612 км</t>
        </is>
      </c>
      <c r="G22" s="5" t="inlineStr">
        <is>
          <t>открыть</t>
        </is>
      </c>
      <c r="H22" s="6" t="inlineStr">
        <is>
          <t>1.Closed</t>
        </is>
      </c>
    </row>
    <row r="23">
      <c r="A23" s="6" t="inlineStr">
        <is>
          <t>730-3120-ЭС1-ВК-ЧНД</t>
        </is>
      </c>
      <c r="B23" s="6" t="inlineStr">
        <is>
          <t>3120</t>
        </is>
      </c>
      <c r="C23" s="6" t="inlineStr">
        <is>
          <t>ЭС1</t>
        </is>
      </c>
      <c r="D23" s="11" t="inlineStr">
        <is>
          <t>Не подписан</t>
        </is>
      </c>
      <c r="E23" s="6" t="inlineStr">
        <is>
          <t>20.01.2026</t>
        </is>
      </c>
      <c r="F23" s="6" t="inlineStr">
        <is>
          <t>Изоляторы и линейная арматура (Прил. №1)</t>
        </is>
      </c>
      <c r="G23" s="5" t="inlineStr">
        <is>
          <t>открыть</t>
        </is>
      </c>
      <c r="H23" s="6" t="inlineStr">
        <is>
          <t>2.Open</t>
        </is>
      </c>
    </row>
    <row r="24">
      <c r="A24" s="6" t="inlineStr">
        <is>
          <t>1248-3120-ЭС1-ВК-ЧНД</t>
        </is>
      </c>
      <c r="B24" s="6" t="inlineStr">
        <is>
          <t>3120</t>
        </is>
      </c>
      <c r="C24" s="6" t="inlineStr">
        <is>
          <t>ЭС1</t>
        </is>
      </c>
      <c r="D24" s="11" t="inlineStr">
        <is>
          <t>Не подписан</t>
        </is>
      </c>
      <c r="E24" s="6" t="inlineStr">
        <is>
          <t>10.08.2026</t>
        </is>
      </c>
      <c r="F24" s="6" t="inlineStr">
        <is>
          <t>ОПНп-220/680/163-10-IV УХЛ1 — 12 шт (зав. № в акте нет), шина АД31Т</t>
        </is>
      </c>
      <c r="G24" s="5" t="inlineStr">
        <is>
          <t>открыть</t>
        </is>
      </c>
      <c r="H24" s="6" t="inlineStr">
        <is>
          <t>2.Open</t>
        </is>
      </c>
    </row>
    <row r="25">
      <c r="A25" s="6" t="inlineStr">
        <is>
          <t>650-3120-ЭС2-ВК-ЧНД</t>
        </is>
      </c>
      <c r="B25" s="6" t="inlineStr">
        <is>
          <t>3120</t>
        </is>
      </c>
      <c r="C25" s="6" t="inlineStr">
        <is>
          <t>ЭС2</t>
        </is>
      </c>
      <c r="D25" s="15" t="inlineStr">
        <is>
          <t>Подписан</t>
        </is>
      </c>
      <c r="E25" s="6" t="inlineStr">
        <is>
          <t>26.01.2026</t>
        </is>
      </c>
      <c r="F25" s="6" t="inlineStr">
        <is>
          <t>Кабель ПвКаВнг(А)-LS 1х300 мк/185-15</t>
        </is>
      </c>
      <c r="G25" s="5" t="inlineStr">
        <is>
          <t>открыть</t>
        </is>
      </c>
      <c r="H25" s="6" t="inlineStr">
        <is>
          <t>1.Closed</t>
        </is>
      </c>
    </row>
    <row r="26" ht="39.6" customHeight="1" s="19">
      <c r="A26" s="6" t="inlineStr">
        <is>
          <t>651-3120-ЭС2-ВК-ЧНД</t>
        </is>
      </c>
      <c r="B26" s="6" t="inlineStr">
        <is>
          <t>3120</t>
        </is>
      </c>
      <c r="C26" s="6" t="inlineStr">
        <is>
          <t>ЭС2</t>
        </is>
      </c>
      <c r="D26" s="15" t="inlineStr">
        <is>
          <t>Подписан</t>
        </is>
      </c>
      <c r="E26" s="6" t="inlineStr">
        <is>
          <t>01.12.2025</t>
        </is>
      </c>
      <c r="F26" s="6" t="inlineStr">
        <is>
          <t>Реактор дугогасящий РДМР-500/10 У1, зав. № 975, 976; разъединители РГ-35 (1.5); фильтры заземляющие — по TQ трансформаторы ТМГ21-630/10-УХЛ1, зав. № 2152742, 2152756 (1.6)</t>
        </is>
      </c>
      <c r="G26" s="5" t="inlineStr">
        <is>
          <t>открыть</t>
        </is>
      </c>
      <c r="H26" s="6" t="inlineStr">
        <is>
          <t>1.Closed</t>
        </is>
      </c>
    </row>
    <row r="27">
      <c r="A27" s="6" t="inlineStr">
        <is>
          <t>652-3120-ЭС2-ВК-ЧНД</t>
        </is>
      </c>
      <c r="B27" s="6" t="inlineStr">
        <is>
          <t>3120</t>
        </is>
      </c>
      <c r="C27" s="6" t="inlineStr">
        <is>
          <t>ЭС2</t>
        </is>
      </c>
      <c r="D27" s="15" t="inlineStr">
        <is>
          <t>Подписан</t>
        </is>
      </c>
      <c r="E27" s="6" t="inlineStr">
        <is>
          <t>20.01.2026</t>
        </is>
      </c>
      <c r="F27" s="6" t="inlineStr">
        <is>
          <t>Муфта концевая 1ПКВТ-10-300/400нг-LS</t>
        </is>
      </c>
      <c r="G27" s="5" t="inlineStr">
        <is>
          <t>открыть</t>
        </is>
      </c>
      <c r="H27" s="6" t="inlineStr">
        <is>
          <t>1.Closed</t>
        </is>
      </c>
    </row>
    <row r="28">
      <c r="A28" s="6" t="inlineStr">
        <is>
          <t>720-3120-ЭС2-ВК-ЧНД</t>
        </is>
      </c>
      <c r="B28" s="6" t="inlineStr">
        <is>
          <t>3120</t>
        </is>
      </c>
      <c r="C28" s="6" t="inlineStr">
        <is>
          <t>ЭС2</t>
        </is>
      </c>
      <c r="D28" s="15" t="inlineStr">
        <is>
          <t>Подписан</t>
        </is>
      </c>
      <c r="E28" s="6" t="inlineStr">
        <is>
          <t>13.01.2026</t>
        </is>
      </c>
      <c r="F28" s="6" t="inlineStr">
        <is>
          <t>КРУ-10 кВ, 22 ячейки + 10 шинных мостов (Прил. №1, зав. № 15007063…15007096)</t>
        </is>
      </c>
      <c r="G28" s="5" t="inlineStr">
        <is>
          <t>открыть</t>
        </is>
      </c>
      <c r="H28" s="6" t="inlineStr">
        <is>
          <t>1.Closed</t>
        </is>
      </c>
    </row>
    <row r="29" ht="26.4" customHeight="1" s="19">
      <c r="A29" s="6" t="inlineStr">
        <is>
          <t>740-3120-ЭС2-ВК-ЧНД</t>
        </is>
      </c>
      <c r="B29" s="6" t="inlineStr">
        <is>
          <t>3120</t>
        </is>
      </c>
      <c r="C29" s="6" t="inlineStr">
        <is>
          <t>ЭС2</t>
        </is>
      </c>
      <c r="D29" s="11" t="inlineStr">
        <is>
          <t>Не подписан</t>
        </is>
      </c>
      <c r="E29" s="6" t="inlineStr">
        <is>
          <t>08.03.2026</t>
        </is>
      </c>
      <c r="F29" s="6" t="inlineStr">
        <is>
          <t>Профили, лотки, метизы, лист (Прил. №1)</t>
        </is>
      </c>
      <c r="G29" s="5" t="inlineStr">
        <is>
          <t>открыть</t>
        </is>
      </c>
      <c r="H29" s="18" t="inlineStr">
        <is>
          <t>База данных Альфа-пром — в 2.Open НЕ загружен</t>
        </is>
      </c>
    </row>
    <row r="30">
      <c r="A30" s="6" t="inlineStr">
        <is>
          <t>879-3120-ЭС2-ВК-ЧНД</t>
        </is>
      </c>
      <c r="B30" s="6" t="inlineStr">
        <is>
          <t>3120</t>
        </is>
      </c>
      <c r="C30" s="6" t="inlineStr">
        <is>
          <t>ЭС2</t>
        </is>
      </c>
      <c r="D30" s="15" t="inlineStr">
        <is>
          <t>Подписан</t>
        </is>
      </c>
      <c r="E30" s="6" t="inlineStr">
        <is>
          <t>28.04.2026</t>
        </is>
      </c>
      <c r="F30" s="6" t="inlineStr">
        <is>
          <t>Профили, консоли, лотки 100х100</t>
        </is>
      </c>
      <c r="G30" s="5" t="inlineStr">
        <is>
          <t>открыть</t>
        </is>
      </c>
      <c r="H30" s="6" t="inlineStr">
        <is>
          <t>1.Closed</t>
        </is>
      </c>
    </row>
    <row r="31">
      <c r="A31" s="6" t="inlineStr">
        <is>
          <t>916-3120-ЭС2-ВК-ЧНД</t>
        </is>
      </c>
      <c r="B31" s="6" t="inlineStr">
        <is>
          <t>3120</t>
        </is>
      </c>
      <c r="C31" s="6" t="inlineStr">
        <is>
          <t>ЭС2</t>
        </is>
      </c>
      <c r="D31" s="15" t="inlineStr">
        <is>
          <t>Подписан</t>
        </is>
      </c>
      <c r="E31" s="6" t="inlineStr">
        <is>
          <t>19.05.2026</t>
        </is>
      </c>
      <c r="F31" s="6" t="inlineStr">
        <is>
          <t>Держатели ОП, С-профили</t>
        </is>
      </c>
      <c r="G31" s="5" t="inlineStr">
        <is>
          <t>открыть</t>
        </is>
      </c>
      <c r="H31" s="6" t="inlineStr">
        <is>
          <t>1.Closed</t>
        </is>
      </c>
    </row>
    <row r="32" ht="26.4" customHeight="1" s="19">
      <c r="A32" s="6" t="inlineStr">
        <is>
          <t>1302-3120-ЭС2-ВК-ЧНД</t>
        </is>
      </c>
      <c r="B32" s="6" t="inlineStr">
        <is>
          <t>3120</t>
        </is>
      </c>
      <c r="C32" s="6" t="inlineStr">
        <is>
          <t>ЭС2</t>
        </is>
      </c>
      <c r="D32" s="11" t="inlineStr">
        <is>
          <t>Не подписан</t>
        </is>
      </c>
      <c r="E32" s="6" t="inlineStr">
        <is>
          <t>27.04.2026</t>
        </is>
      </c>
      <c r="F32" s="6" t="inlineStr">
        <is>
          <t>Зажимы А2А-300-3Т, АШМ-12-1</t>
        </is>
      </c>
      <c r="G32" s="5" t="inlineStr">
        <is>
          <t>открыть</t>
        </is>
      </c>
      <c r="H32" s="18" t="inlineStr">
        <is>
          <t>База данных Альфа-пром — в 2.Open НЕ загружен</t>
        </is>
      </c>
    </row>
    <row r="33">
      <c r="A33" s="6" t="inlineStr">
        <is>
          <t>805-3120-ЭС3-ВК-ЧНД</t>
        </is>
      </c>
      <c r="B33" s="6" t="inlineStr">
        <is>
          <t>3120</t>
        </is>
      </c>
      <c r="C33" s="6" t="inlineStr">
        <is>
          <t>ЭС3</t>
        </is>
      </c>
      <c r="D33" s="15" t="inlineStr">
        <is>
          <t>Подписан</t>
        </is>
      </c>
      <c r="E33" s="6" t="inlineStr">
        <is>
          <t>01.12.2025</t>
        </is>
      </c>
      <c r="F33" s="6" t="inlineStr">
        <is>
          <t>Трансформатор ТЛСЗ-400/10 УХЛ2, зав. № 5842, 5843</t>
        </is>
      </c>
      <c r="G33" s="5" t="inlineStr">
        <is>
          <t>открыть</t>
        </is>
      </c>
      <c r="H33" s="6" t="inlineStr">
        <is>
          <t>1.Closed</t>
        </is>
      </c>
    </row>
    <row r="34">
      <c r="A34" s="6" t="inlineStr">
        <is>
          <t>806-3120-ЭС3-ВК-ЧНД</t>
        </is>
      </c>
      <c r="B34" s="6" t="inlineStr">
        <is>
          <t>3120</t>
        </is>
      </c>
      <c r="C34" s="6" t="inlineStr">
        <is>
          <t>ЭС3</t>
        </is>
      </c>
      <c r="D34" s="15" t="inlineStr">
        <is>
          <t>Подписан</t>
        </is>
      </c>
      <c r="E34" s="6" t="inlineStr">
        <is>
          <t>22.04.2026</t>
        </is>
      </c>
      <c r="F34" s="6" t="inlineStr">
        <is>
          <t>Щит распределительный 0,4 кВ, зав. № 297-25</t>
        </is>
      </c>
      <c r="G34" s="5" t="inlineStr">
        <is>
          <t>открыть</t>
        </is>
      </c>
      <c r="H34" s="6" t="inlineStr">
        <is>
          <t>1.Closed</t>
        </is>
      </c>
    </row>
    <row r="35">
      <c r="A35" s="6" t="inlineStr">
        <is>
          <t>816-3120-ЭС3-ВК-ЧНД</t>
        </is>
      </c>
      <c r="B35" s="6" t="inlineStr">
        <is>
          <t>3120</t>
        </is>
      </c>
      <c r="C35" s="6" t="inlineStr">
        <is>
          <t>ЭС3</t>
        </is>
      </c>
      <c r="D35" s="11" t="inlineStr">
        <is>
          <t>Не подписан</t>
        </is>
      </c>
      <c r="E35" s="6" t="inlineStr">
        <is>
          <t>11.12.2025</t>
        </is>
      </c>
      <c r="F35" s="6" t="inlineStr">
        <is>
          <t>ЩПТ №2 зав. № 25002, стеллажи 4 шт, аккумуляторы 2 шт</t>
        </is>
      </c>
      <c r="G35" s="5" t="inlineStr">
        <is>
          <t>открыть</t>
        </is>
      </c>
      <c r="H35" s="6" t="inlineStr">
        <is>
          <t>2.Open</t>
        </is>
      </c>
    </row>
    <row r="36">
      <c r="A36" s="6" t="inlineStr">
        <is>
          <t>880-3120-ЭС3-ВК-ЧНД</t>
        </is>
      </c>
      <c r="B36" s="6" t="inlineStr">
        <is>
          <t>3120</t>
        </is>
      </c>
      <c r="C36" s="6" t="inlineStr">
        <is>
          <t>ЭС3</t>
        </is>
      </c>
      <c r="D36" s="11" t="inlineStr">
        <is>
          <t>Не подписан</t>
        </is>
      </c>
      <c r="E36" s="6" t="inlineStr">
        <is>
          <t>13.01.2026</t>
        </is>
      </c>
      <c r="F36" s="6" t="inlineStr">
        <is>
          <t>Ячейки КРУ-Э3 (зав. № 15007085, «150086»), кабели, лотки, муфты</t>
        </is>
      </c>
      <c r="G36" s="5" t="inlineStr">
        <is>
          <t>открыть</t>
        </is>
      </c>
      <c r="H36" s="6" t="inlineStr">
        <is>
          <t>2.Open</t>
        </is>
      </c>
    </row>
    <row r="37">
      <c r="A37" s="6" t="inlineStr">
        <is>
          <t>1080-3120-ЭС3-ВК-ЧНД</t>
        </is>
      </c>
      <c r="B37" s="6" t="inlineStr">
        <is>
          <t>3120</t>
        </is>
      </c>
      <c r="C37" s="6" t="inlineStr">
        <is>
          <t>ЭС3</t>
        </is>
      </c>
      <c r="D37" s="15" t="inlineStr">
        <is>
          <t>Подписан</t>
        </is>
      </c>
      <c r="E37" s="6" t="inlineStr">
        <is>
          <t>10.06.2026</t>
        </is>
      </c>
      <c r="F37" s="6" t="inlineStr">
        <is>
          <t>Местная станция управления 8 шт, выключатель одноклавишный 9 шт</t>
        </is>
      </c>
      <c r="G37" s="5" t="inlineStr">
        <is>
          <t>открыть</t>
        </is>
      </c>
      <c r="H37" s="6" t="inlineStr">
        <is>
          <t>1.Closed</t>
        </is>
      </c>
    </row>
    <row r="38" ht="26.4" customHeight="1" s="19">
      <c r="A38" s="6" t="inlineStr">
        <is>
          <t>1245-3120-ЭС3-ВК-ЧНД</t>
        </is>
      </c>
      <c r="B38" s="6" t="inlineStr">
        <is>
          <t>3120</t>
        </is>
      </c>
      <c r="C38" s="6" t="inlineStr">
        <is>
          <t>ЭС3</t>
        </is>
      </c>
      <c r="D38" s="11" t="inlineStr">
        <is>
          <t>Не подписан</t>
        </is>
      </c>
      <c r="E38" s="6" t="inlineStr">
        <is>
          <t>10.06.2026</t>
        </is>
      </c>
      <c r="F38" s="6" t="inlineStr">
        <is>
          <t>Лотки, перегородки, ответвители</t>
        </is>
      </c>
      <c r="G38" s="5" t="inlineStr">
        <is>
          <t>открыть</t>
        </is>
      </c>
      <c r="H38" s="18" t="inlineStr">
        <is>
          <t>База данных Альфа-пром — в 2.Open НЕ загружен</t>
        </is>
      </c>
    </row>
    <row r="39" ht="26.4" customHeight="1" s="19">
      <c r="A39" s="6" t="inlineStr">
        <is>
          <t>961-3120-ЭС4-ВК-ЧНД</t>
        </is>
      </c>
      <c r="B39" s="6" t="inlineStr">
        <is>
          <t>3120</t>
        </is>
      </c>
      <c r="C39" s="6" t="inlineStr">
        <is>
          <t>ЭС4</t>
        </is>
      </c>
      <c r="D39" s="11" t="inlineStr">
        <is>
          <t>Не подписан</t>
        </is>
      </c>
      <c r="E39" s="6" t="inlineStr">
        <is>
          <t>11.03.2026</t>
        </is>
      </c>
      <c r="F39" s="6" t="inlineStr">
        <is>
          <t>Шкафы РЗА Бреслер/ЭКРА, УПАСК (зав. № 10589/…, 35323-35324, ЮИ-25-1273-1-00…), контрольный кабель</t>
        </is>
      </c>
      <c r="G39" s="5" t="inlineStr">
        <is>
          <t>открыть</t>
        </is>
      </c>
      <c r="H39" s="6" t="inlineStr">
        <is>
          <t>2.Open</t>
        </is>
      </c>
    </row>
    <row r="40">
      <c r="A40" s="6" t="inlineStr">
        <is>
          <t>742-3120-ЭС5-ВК-ЧНД</t>
        </is>
      </c>
      <c r="B40" s="6" t="inlineStr">
        <is>
          <t>3120</t>
        </is>
      </c>
      <c r="C40" s="6" t="inlineStr">
        <is>
          <t>ЭС5</t>
        </is>
      </c>
      <c r="D40" s="11" t="inlineStr">
        <is>
          <t>Не подписан</t>
        </is>
      </c>
      <c r="E40" s="6" t="inlineStr">
        <is>
          <t>11.03.2026</t>
        </is>
      </c>
      <c r="F40" s="6" t="inlineStr">
        <is>
          <t>В папке ЭС5 лежит копия акта 961-3120-ЭС4 (шкафы РЗА) — проверить</t>
        </is>
      </c>
      <c r="G40" s="5" t="inlineStr">
        <is>
          <t>открыть</t>
        </is>
      </c>
      <c r="H40" s="6" t="inlineStr">
        <is>
          <t>2.Open</t>
        </is>
      </c>
    </row>
    <row r="41">
      <c r="A41" s="6" t="inlineStr">
        <is>
          <t>743-3120-ЭС5-ВК-ЧНД</t>
        </is>
      </c>
      <c r="B41" s="6" t="inlineStr">
        <is>
          <t>3120</t>
        </is>
      </c>
      <c r="C41" s="6" t="inlineStr">
        <is>
          <t>ЭС5</t>
        </is>
      </c>
      <c r="D41" s="11" t="inlineStr">
        <is>
          <t>Не подписан</t>
        </is>
      </c>
      <c r="E41" s="6" t="inlineStr">
        <is>
          <t>29.01.2026</t>
        </is>
      </c>
      <c r="F41" s="6" t="inlineStr">
        <is>
          <t>Кабели WDZA-KYJYP, WDZA-YJY</t>
        </is>
      </c>
      <c r="G41" s="5" t="inlineStr">
        <is>
          <t>открыть</t>
        </is>
      </c>
      <c r="H41" s="6" t="inlineStr">
        <is>
          <t>2.Open</t>
        </is>
      </c>
    </row>
    <row r="42">
      <c r="A42" s="6" t="inlineStr">
        <is>
          <t>1115-3121-АОВ-ВК-ЧНД</t>
        </is>
      </c>
      <c r="B42" s="6" t="inlineStr">
        <is>
          <t>3121</t>
        </is>
      </c>
      <c r="C42" s="6" t="inlineStr">
        <is>
          <t>АОВ</t>
        </is>
      </c>
      <c r="D42" s="11" t="inlineStr">
        <is>
          <t>Не подписан</t>
        </is>
      </c>
      <c r="E42" s="6" t="inlineStr">
        <is>
          <t>16.06.2026</t>
        </is>
      </c>
      <c r="F42" s="6" t="inlineStr">
        <is>
          <t>Кабели ZA-DJVVP, ZA-DJVPVP, ZA-KVVP, ZA-RV</t>
        </is>
      </c>
      <c r="G42" s="5" t="inlineStr">
        <is>
          <t>открыть</t>
        </is>
      </c>
      <c r="H42" s="6" t="inlineStr">
        <is>
          <t>2.Open</t>
        </is>
      </c>
    </row>
    <row r="43" ht="26.4" customHeight="1" s="19">
      <c r="A43" s="6" t="inlineStr">
        <is>
          <t>1206-3121-АОВ-ВК-ЧНД</t>
        </is>
      </c>
      <c r="B43" s="6" t="inlineStr">
        <is>
          <t>3121</t>
        </is>
      </c>
      <c r="C43" s="6" t="inlineStr">
        <is>
          <t>АОВ</t>
        </is>
      </c>
      <c r="D43" s="11" t="inlineStr">
        <is>
          <t>Не подписан</t>
        </is>
      </c>
      <c r="E43" s="6" t="inlineStr">
        <is>
          <t>05.05.2026</t>
        </is>
      </c>
      <c r="F43" s="6" t="inlineStr">
        <is>
          <t>Кабель — 130 м</t>
        </is>
      </c>
      <c r="G43" s="5" t="inlineStr">
        <is>
          <t>открыть</t>
        </is>
      </c>
      <c r="H43" s="18" t="inlineStr">
        <is>
          <t>База данных Альфа-пром — в 2.Open НЕ загружен</t>
        </is>
      </c>
    </row>
    <row r="44">
      <c r="A44" s="6" t="inlineStr">
        <is>
          <t>676-3121-ВК-ЧНД-1</t>
        </is>
      </c>
      <c r="B44" s="6" t="inlineStr">
        <is>
          <t>3121</t>
        </is>
      </c>
      <c r="C44" s="6" t="inlineStr">
        <is>
          <t>ВК</t>
        </is>
      </c>
      <c r="D44" s="15" t="inlineStr">
        <is>
          <t>Подписан</t>
        </is>
      </c>
      <c r="E44" s="6" t="inlineStr">
        <is>
          <t>05.11.2025</t>
        </is>
      </c>
      <c r="F44" s="6" t="inlineStr">
        <is>
          <t>Трубы стальные 160х160х6 (КМ)</t>
        </is>
      </c>
      <c r="G44" s="5" t="inlineStr">
        <is>
          <t>открыть</t>
        </is>
      </c>
      <c r="H44" s="6" t="inlineStr">
        <is>
          <t>1.Closed</t>
        </is>
      </c>
    </row>
    <row r="45">
      <c r="A45" s="6" t="inlineStr">
        <is>
          <t>677-3121-ВК-ЧНД-2</t>
        </is>
      </c>
      <c r="B45" s="6" t="inlineStr">
        <is>
          <t>3121</t>
        </is>
      </c>
      <c r="C45" s="6" t="inlineStr">
        <is>
          <t>ВК</t>
        </is>
      </c>
      <c r="D45" s="15" t="inlineStr">
        <is>
          <t>Подписан</t>
        </is>
      </c>
      <c r="E45" s="6" t="inlineStr">
        <is>
          <t>05.11.2025</t>
        </is>
      </c>
      <c r="F45" s="6" t="inlineStr">
        <is>
          <t>Антикоррозийные материалы (КМ)</t>
        </is>
      </c>
      <c r="G45" s="5" t="inlineStr">
        <is>
          <t>открыть</t>
        </is>
      </c>
      <c r="H45" s="6" t="inlineStr">
        <is>
          <t>1.Closed</t>
        </is>
      </c>
    </row>
    <row r="46">
      <c r="A46" s="6" t="inlineStr">
        <is>
          <t>678-3121-ВК-ЧНД-3</t>
        </is>
      </c>
      <c r="B46" s="6" t="inlineStr">
        <is>
          <t>3121</t>
        </is>
      </c>
      <c r="C46" s="6" t="inlineStr">
        <is>
          <t>ВК</t>
        </is>
      </c>
      <c r="D46" s="15" t="inlineStr">
        <is>
          <t>Подписан</t>
        </is>
      </c>
      <c r="E46" s="6" t="inlineStr">
        <is>
          <t>15.12.2025</t>
        </is>
      </c>
      <c r="F46" s="6" t="inlineStr">
        <is>
          <t>Антикоррозийные материалы (КМ)</t>
        </is>
      </c>
      <c r="G46" s="5" t="inlineStr">
        <is>
          <t>открыть</t>
        </is>
      </c>
      <c r="H46" s="6" t="inlineStr">
        <is>
          <t>1.Closed</t>
        </is>
      </c>
    </row>
    <row r="47">
      <c r="A47" s="6" t="inlineStr">
        <is>
          <t>739-3121-ВК-ВК-ЧНД</t>
        </is>
      </c>
      <c r="B47" s="6" t="inlineStr">
        <is>
          <t>3121</t>
        </is>
      </c>
      <c r="C47" s="6" t="inlineStr">
        <is>
          <t>ВК</t>
        </is>
      </c>
      <c r="D47" s="11" t="inlineStr">
        <is>
          <t>Не подписан</t>
        </is>
      </c>
      <c r="E47" s="6" t="inlineStr">
        <is>
          <t>26.08.2025</t>
        </is>
      </c>
      <c r="F47" s="6" t="inlineStr">
        <is>
          <t>Трап ТА1712 (ВК)</t>
        </is>
      </c>
      <c r="G47" s="5" t="inlineStr">
        <is>
          <t>открыть</t>
        </is>
      </c>
      <c r="H47" s="6" t="inlineStr">
        <is>
          <t>2.Open</t>
        </is>
      </c>
    </row>
    <row r="48">
      <c r="A48" s="6" t="inlineStr">
        <is>
          <t>526-3121-КЭ-ЧНД</t>
        </is>
      </c>
      <c r="B48" s="6" t="inlineStr">
        <is>
          <t>3121</t>
        </is>
      </c>
      <c r="C48" s="6" t="inlineStr">
        <is>
          <t>КЭ</t>
        </is>
      </c>
      <c r="D48" s="11" t="inlineStr">
        <is>
          <t>Не подписан</t>
        </is>
      </c>
      <c r="E48" s="6" t="inlineStr">
        <is>
          <t>12.01.2026</t>
        </is>
      </c>
      <c r="F48" s="6" t="inlineStr">
        <is>
          <t>Кран электрический однобалочный подвесной, индекс FHU10-15-9 A3, поз. 03L1201</t>
        </is>
      </c>
      <c r="G48" s="5" t="inlineStr">
        <is>
          <t>открыть</t>
        </is>
      </c>
      <c r="H48" s="6" t="inlineStr">
        <is>
          <t>2.Open</t>
        </is>
      </c>
    </row>
    <row r="49">
      <c r="A49" s="6" t="inlineStr">
        <is>
          <t>679-3121-ОВ-ВК-ЧНД</t>
        </is>
      </c>
      <c r="B49" s="6" t="inlineStr">
        <is>
          <t>3121</t>
        </is>
      </c>
      <c r="C49" s="6" t="inlineStr">
        <is>
          <t>ОВ</t>
        </is>
      </c>
      <c r="D49" s="11" t="inlineStr">
        <is>
          <t>Не подписан</t>
        </is>
      </c>
      <c r="E49" s="6" t="inlineStr">
        <is>
          <t>27.12.2025</t>
        </is>
      </c>
      <c r="F49" s="6" t="inlineStr">
        <is>
          <t>Изделия ОВ для здания КРУЭ/ОПУ (Прил. №1)</t>
        </is>
      </c>
      <c r="G49" s="5" t="inlineStr">
        <is>
          <t>открыть</t>
        </is>
      </c>
      <c r="H49" s="6" t="inlineStr">
        <is>
          <t>2.Open</t>
        </is>
      </c>
    </row>
    <row r="50">
      <c r="A50" s="6" t="inlineStr">
        <is>
          <t>679-1-3121-ОВ-ВК-ЧНД</t>
        </is>
      </c>
      <c r="B50" s="6" t="inlineStr">
        <is>
          <t>3121</t>
        </is>
      </c>
      <c r="C50" s="6" t="inlineStr">
        <is>
          <t>ОВ</t>
        </is>
      </c>
      <c r="D50" s="11" t="inlineStr">
        <is>
          <t>Не подписан</t>
        </is>
      </c>
      <c r="E50" s="6" t="inlineStr">
        <is>
          <t>27.12.2025</t>
        </is>
      </c>
      <c r="F50" s="6" t="inlineStr">
        <is>
          <t>Изделия ОВ (отводы)</t>
        </is>
      </c>
      <c r="G50" s="5" t="inlineStr">
        <is>
          <t>открыть</t>
        </is>
      </c>
      <c r="H50" s="6" t="inlineStr">
        <is>
          <t>2.Open</t>
        </is>
      </c>
    </row>
    <row r="51">
      <c r="A51" s="6" t="inlineStr">
        <is>
          <t>679-2-3121-ОВ-ВК-ЧНД</t>
        </is>
      </c>
      <c r="B51" s="6" t="inlineStr">
        <is>
          <t>3121</t>
        </is>
      </c>
      <c r="C51" s="6" t="inlineStr">
        <is>
          <t>ОВ</t>
        </is>
      </c>
      <c r="D51" s="11" t="inlineStr">
        <is>
          <t>Не подписан</t>
        </is>
      </c>
      <c r="E51" s="6" t="inlineStr">
        <is>
          <t>27.12.2025</t>
        </is>
      </c>
      <c r="F51" s="6" t="inlineStr">
        <is>
          <t>Изделия ОВ (отводы, ч.2)</t>
        </is>
      </c>
      <c r="G51" s="5" t="inlineStr">
        <is>
          <t>открыть</t>
        </is>
      </c>
      <c r="H51" s="6" t="inlineStr">
        <is>
          <t>2.Open</t>
        </is>
      </c>
    </row>
    <row r="52" ht="26.4" customHeight="1" s="19">
      <c r="A52" s="6" t="inlineStr">
        <is>
          <t>679-3-3121-ОВ-ВК-ЧНД</t>
        </is>
      </c>
      <c r="B52" s="6" t="inlineStr">
        <is>
          <t>3121</t>
        </is>
      </c>
      <c r="C52" s="6" t="inlineStr">
        <is>
          <t>ОВ</t>
        </is>
      </c>
      <c r="D52" s="11" t="inlineStr">
        <is>
          <t>Не подписан</t>
        </is>
      </c>
      <c r="E52" s="6" t="inlineStr">
        <is>
          <t>27.12.2025</t>
        </is>
      </c>
      <c r="F52" s="6" t="inlineStr">
        <is>
          <t>Изделия ОВ (трубы)</t>
        </is>
      </c>
      <c r="G52" s="5" t="inlineStr">
        <is>
          <t>открыть</t>
        </is>
      </c>
      <c r="H52" s="18" t="inlineStr">
        <is>
          <t>База данных Альфа-пром — в 2.Open НЕ загружен</t>
        </is>
      </c>
    </row>
    <row r="53">
      <c r="A53" s="6" t="inlineStr">
        <is>
          <t>691-3121-ОВ-ВК-ЧНД</t>
        </is>
      </c>
      <c r="B53" s="6" t="inlineStr">
        <is>
          <t>3121</t>
        </is>
      </c>
      <c r="C53" s="6" t="inlineStr">
        <is>
          <t>ОВ</t>
        </is>
      </c>
      <c r="D53" s="11" t="inlineStr">
        <is>
          <t>Не подписан</t>
        </is>
      </c>
      <c r="E53" s="6" t="inlineStr">
        <is>
          <t>27.12.2025</t>
        </is>
      </c>
      <c r="F53" s="6" t="inlineStr">
        <is>
          <t>Изделия и материалы ОВ</t>
        </is>
      </c>
      <c r="G53" s="5" t="inlineStr">
        <is>
          <t>открыть</t>
        </is>
      </c>
      <c r="H53" s="6" t="inlineStr">
        <is>
          <t>2.Open</t>
        </is>
      </c>
    </row>
    <row r="54">
      <c r="A54" s="6" t="inlineStr">
        <is>
          <t>701-3121-ОВ-ВК-ЧНД</t>
        </is>
      </c>
      <c r="B54" s="6" t="inlineStr">
        <is>
          <t>3121</t>
        </is>
      </c>
      <c r="C54" s="6" t="inlineStr">
        <is>
          <t>ОВ</t>
        </is>
      </c>
      <c r="D54" s="11" t="inlineStr">
        <is>
          <t>Не подписан</t>
        </is>
      </c>
      <c r="E54" s="6" t="inlineStr">
        <is>
          <t>02.02.2026</t>
        </is>
      </c>
      <c r="F54" s="6" t="inlineStr">
        <is>
          <t>Изделия и материалы ОВ</t>
        </is>
      </c>
      <c r="G54" s="5" t="inlineStr">
        <is>
          <t>открыть</t>
        </is>
      </c>
      <c r="H54" s="6" t="inlineStr">
        <is>
          <t>2.Open</t>
        </is>
      </c>
    </row>
    <row r="55">
      <c r="A55" s="6" t="inlineStr">
        <is>
          <t>724-3121-ОВ-ВК-ЧНД</t>
        </is>
      </c>
      <c r="B55" s="6" t="inlineStr">
        <is>
          <t>3121</t>
        </is>
      </c>
      <c r="C55" s="6" t="inlineStr">
        <is>
          <t>ОВ</t>
        </is>
      </c>
      <c r="D55" s="11" t="inlineStr">
        <is>
          <t>Не подписан</t>
        </is>
      </c>
      <c r="E55" s="6" t="inlineStr">
        <is>
          <t>15.11.2025</t>
        </is>
      </c>
      <c r="F55" s="6" t="inlineStr">
        <is>
          <t>Изделия и оборудование ОВ</t>
        </is>
      </c>
      <c r="G55" s="5" t="inlineStr">
        <is>
          <t>открыть</t>
        </is>
      </c>
      <c r="H55" s="6" t="inlineStr">
        <is>
          <t>2.Open</t>
        </is>
      </c>
    </row>
    <row r="56">
      <c r="A56" s="6" t="inlineStr">
        <is>
          <t>731-3121-ОВ-ВК-ЧНД</t>
        </is>
      </c>
      <c r="B56" s="6" t="inlineStr">
        <is>
          <t>3121</t>
        </is>
      </c>
      <c r="C56" s="6" t="inlineStr">
        <is>
          <t>ОВ</t>
        </is>
      </c>
      <c r="D56" s="15" t="inlineStr">
        <is>
          <t>Подписан</t>
        </is>
      </c>
      <c r="E56" s="6" t="inlineStr">
        <is>
          <t>09.03.2026</t>
        </is>
      </c>
      <c r="F56" s="6" t="inlineStr">
        <is>
          <t>Изделия ОВ</t>
        </is>
      </c>
      <c r="G56" s="5" t="inlineStr">
        <is>
          <t>открыть</t>
        </is>
      </c>
      <c r="H56" s="6" t="inlineStr">
        <is>
          <t>1.Closed</t>
        </is>
      </c>
    </row>
    <row r="57">
      <c r="A57" s="6" t="inlineStr">
        <is>
          <t>754-3121-ОВ-ВК-ЧНД</t>
        </is>
      </c>
      <c r="B57" s="6" t="inlineStr">
        <is>
          <t>3121</t>
        </is>
      </c>
      <c r="C57" s="6" t="inlineStr">
        <is>
          <t>ОВ</t>
        </is>
      </c>
      <c r="D57" s="11" t="inlineStr">
        <is>
          <t>Не подписан</t>
        </is>
      </c>
      <c r="E57" s="6" t="inlineStr">
        <is>
          <t>09.03.2026</t>
        </is>
      </c>
      <c r="F57" s="6" t="inlineStr">
        <is>
          <t>Изделия ОВ</t>
        </is>
      </c>
      <c r="G57" s="5" t="inlineStr">
        <is>
          <t>открыть</t>
        </is>
      </c>
      <c r="H57" s="6" t="inlineStr">
        <is>
          <t>2.Open</t>
        </is>
      </c>
    </row>
    <row r="58">
      <c r="A58" s="6" t="inlineStr">
        <is>
          <t>756-3121-ОВ-ВК-ЧНД</t>
        </is>
      </c>
      <c r="B58" s="6" t="inlineStr">
        <is>
          <t>3121</t>
        </is>
      </c>
      <c r="C58" s="6" t="inlineStr">
        <is>
          <t>ОВ</t>
        </is>
      </c>
      <c r="D58" s="11" t="inlineStr">
        <is>
          <t>Не подписан</t>
        </is>
      </c>
      <c r="E58" s="6" t="inlineStr">
        <is>
          <t>06.03.2026</t>
        </is>
      </c>
      <c r="F58" s="6" t="inlineStr">
        <is>
          <t>Изделия и материалы ОВ</t>
        </is>
      </c>
      <c r="G58" s="5" t="inlineStr">
        <is>
          <t>открыть</t>
        </is>
      </c>
      <c r="H58" s="6" t="inlineStr">
        <is>
          <t>2.Open</t>
        </is>
      </c>
    </row>
    <row r="59">
      <c r="A59" s="6" t="inlineStr">
        <is>
          <t>757-3121-ОВ-ВК-ЧНД</t>
        </is>
      </c>
      <c r="B59" s="6" t="inlineStr">
        <is>
          <t>3121</t>
        </is>
      </c>
      <c r="C59" s="6" t="inlineStr">
        <is>
          <t>ОВ</t>
        </is>
      </c>
      <c r="D59" s="11" t="inlineStr">
        <is>
          <t>Не подписан</t>
        </is>
      </c>
      <c r="E59" s="6" t="n"/>
      <c r="F59" s="6" t="inlineStr">
        <is>
          <t>Изделия ОВ, здание КРУЭ 220 кВ с ОПУ (тит. 3121) — содержание не разбиралось</t>
        </is>
      </c>
      <c r="G59" s="5" t="inlineStr">
        <is>
          <t>открыть</t>
        </is>
      </c>
      <c r="H59" s="6" t="inlineStr">
        <is>
          <t>2.Open</t>
        </is>
      </c>
    </row>
    <row r="60">
      <c r="A60" s="6" t="inlineStr">
        <is>
          <t>1381-3121-ОВ-ВК-ЧНД</t>
        </is>
      </c>
      <c r="B60" s="6" t="inlineStr">
        <is>
          <t>3121</t>
        </is>
      </c>
      <c r="C60" s="6" t="inlineStr">
        <is>
          <t>ОВ</t>
        </is>
      </c>
      <c r="D60" s="11" t="inlineStr">
        <is>
          <t>Не подписан</t>
        </is>
      </c>
      <c r="E60" s="6" t="inlineStr">
        <is>
          <t>16.03.2026</t>
        </is>
      </c>
      <c r="F60" s="6" t="inlineStr">
        <is>
          <t>Изделия и материалы ОВ</t>
        </is>
      </c>
      <c r="G60" s="5" t="inlineStr">
        <is>
          <t>открыть</t>
        </is>
      </c>
      <c r="H60" s="6" t="inlineStr">
        <is>
          <t>2.Open</t>
        </is>
      </c>
    </row>
    <row r="61" ht="26.4" customHeight="1" s="19">
      <c r="A61" s="6" t="inlineStr">
        <is>
          <t>782-3121-ПС-ВК-ЧНД</t>
        </is>
      </c>
      <c r="B61" s="6" t="inlineStr">
        <is>
          <t>3121</t>
        </is>
      </c>
      <c r="C61" s="6" t="inlineStr">
        <is>
          <t>ПС</t>
        </is>
      </c>
      <c r="D61" s="11" t="inlineStr">
        <is>
          <t>Не подписан</t>
        </is>
      </c>
      <c r="E61" s="6" t="inlineStr">
        <is>
          <t>14.03.2026</t>
        </is>
      </c>
      <c r="F61" s="6" t="inlineStr">
        <is>
          <t>Оборудование ПС Рубеж (ППКП, БИУ, извещатели, оповещатели), кабели — без зав. №</t>
        </is>
      </c>
      <c r="G61" s="5" t="inlineStr">
        <is>
          <t>открыть</t>
        </is>
      </c>
      <c r="H61" s="18" t="inlineStr">
        <is>
          <t>База данных Альфа-пром — в 2.Open НЕ загружен</t>
        </is>
      </c>
    </row>
    <row r="62">
      <c r="A62" s="6" t="inlineStr">
        <is>
          <t>1102-3121-СКУД-ВК-ЧНД</t>
        </is>
      </c>
      <c r="B62" s="6" t="inlineStr">
        <is>
          <t>3121</t>
        </is>
      </c>
      <c r="C62" s="6" t="inlineStr">
        <is>
          <t>СКУД</t>
        </is>
      </c>
      <c r="D62" s="11" t="inlineStr">
        <is>
          <t>Не подписан</t>
        </is>
      </c>
      <c r="E62" s="6" t="inlineStr">
        <is>
          <t>20.03.2026</t>
        </is>
      </c>
      <c r="F62" s="6" t="inlineStr">
        <is>
          <t>Кабель КПСВВнг(А)-LS 1х2х2,5 — 163 м</t>
        </is>
      </c>
      <c r="G62" s="5" t="inlineStr">
        <is>
          <t>открыть</t>
        </is>
      </c>
      <c r="H62" s="6" t="inlineStr">
        <is>
          <t>2.Open</t>
        </is>
      </c>
    </row>
    <row r="63">
      <c r="A63" s="6" t="inlineStr">
        <is>
          <t>1205-3123-АОВ-ВК-ЧНД</t>
        </is>
      </c>
      <c r="B63" s="6" t="inlineStr">
        <is>
          <t>3123</t>
        </is>
      </c>
      <c r="C63" s="6" t="inlineStr">
        <is>
          <t>АОВ</t>
        </is>
      </c>
      <c r="D63" s="11" t="inlineStr">
        <is>
          <t>Не подписан</t>
        </is>
      </c>
      <c r="E63" s="6" t="inlineStr">
        <is>
          <t>05.05.2026</t>
        </is>
      </c>
      <c r="F63" s="6" t="inlineStr">
        <is>
          <t>Кабель — 160 м</t>
        </is>
      </c>
      <c r="G63" s="5" t="inlineStr">
        <is>
          <t>открыть</t>
        </is>
      </c>
      <c r="H63" s="6" t="inlineStr">
        <is>
          <t>2.Open</t>
        </is>
      </c>
    </row>
    <row r="64">
      <c r="A64" s="6" t="inlineStr">
        <is>
          <t>680-3123-ОВ-ВК-ЧНД</t>
        </is>
      </c>
      <c r="B64" s="6" t="inlineStr">
        <is>
          <t>3123</t>
        </is>
      </c>
      <c r="C64" s="6" t="inlineStr">
        <is>
          <t>ОВ</t>
        </is>
      </c>
      <c r="D64" s="11" t="inlineStr">
        <is>
          <t>Не подписан</t>
        </is>
      </c>
      <c r="E64" s="6" t="inlineStr">
        <is>
          <t>27.12.2025</t>
        </is>
      </c>
      <c r="F64" s="6" t="inlineStr">
        <is>
          <t>Изделия и материалы ОВ здания ЗРУ-10 кВ</t>
        </is>
      </c>
      <c r="G64" s="5" t="inlineStr">
        <is>
          <t>открыть</t>
        </is>
      </c>
      <c r="H64" s="6" t="inlineStr">
        <is>
          <t>2.Open</t>
        </is>
      </c>
    </row>
    <row r="65">
      <c r="A65" s="6" t="inlineStr">
        <is>
          <t>791-3123-ОВ-ВК-ЧНД</t>
        </is>
      </c>
      <c r="B65" s="6" t="inlineStr">
        <is>
          <t>3123</t>
        </is>
      </c>
      <c r="C65" s="6" t="inlineStr">
        <is>
          <t>ОВ</t>
        </is>
      </c>
      <c r="D65" s="11" t="inlineStr">
        <is>
          <t>Не подписан</t>
        </is>
      </c>
      <c r="E65" s="6" t="inlineStr">
        <is>
          <t>27.12.2025</t>
        </is>
      </c>
      <c r="F65" s="6" t="inlineStr">
        <is>
          <t>Крепёж и изделия ОВ (Hilti)</t>
        </is>
      </c>
      <c r="G65" s="5" t="inlineStr">
        <is>
          <t>открыть</t>
        </is>
      </c>
      <c r="H65" s="6" t="inlineStr">
        <is>
          <t>2.Open</t>
        </is>
      </c>
    </row>
    <row r="66" ht="26.4" customHeight="1" s="19">
      <c r="A66" s="6" t="inlineStr">
        <is>
          <t>783-3123-ПС-ВК-ЧНД</t>
        </is>
      </c>
      <c r="B66" s="6" t="inlineStr">
        <is>
          <t>3123</t>
        </is>
      </c>
      <c r="C66" s="6" t="inlineStr">
        <is>
          <t>ПС</t>
        </is>
      </c>
      <c r="D66" s="11" t="inlineStr">
        <is>
          <t>Не подписан</t>
        </is>
      </c>
      <c r="E66" s="6" t="inlineStr">
        <is>
          <t>11.03.2026</t>
        </is>
      </c>
      <c r="F66" s="6" t="inlineStr">
        <is>
          <t>Коммутатор уличный, IP-видеокамеры 4 шт, кроссы (фактически ОС) — без зав. №</t>
        </is>
      </c>
      <c r="G66" s="5" t="inlineStr">
        <is>
          <t>открыть</t>
        </is>
      </c>
      <c r="H66" s="18" t="inlineStr">
        <is>
          <t>База данных Альфа-пром — в 2.Open НЕ загружен</t>
        </is>
      </c>
    </row>
    <row r="67" ht="26.4" customHeight="1" s="19">
      <c r="A67" s="6" t="inlineStr">
        <is>
          <t>1558-3126-ОУ-ВК-ЧНД</t>
        </is>
      </c>
      <c r="B67" s="6" t="inlineStr">
        <is>
          <t>3126</t>
        </is>
      </c>
      <c r="C67" s="6" t="inlineStr">
        <is>
          <t>ОУ</t>
        </is>
      </c>
      <c r="D67" s="11" t="inlineStr">
        <is>
          <t>Не подписан</t>
        </is>
      </c>
      <c r="E67" s="6" t="inlineStr">
        <is>
          <t>17.03.2026</t>
        </is>
      </c>
      <c r="F67" s="6" t="inlineStr">
        <is>
          <t>Очистная установка LYSF-2, зав. № K25002, поз. 03PA1203</t>
        </is>
      </c>
      <c r="G67" s="5" t="inlineStr">
        <is>
          <t>открыть</t>
        </is>
      </c>
      <c r="H67" s="18" t="inlineStr">
        <is>
          <t>База данных Альфа-пром — в 2.Open НЕ загружен</t>
        </is>
      </c>
    </row>
    <row r="68" ht="26.4" customHeight="1" s="19">
      <c r="A68" s="6" t="inlineStr">
        <is>
          <t>1559-3126-ОУ-ВК-ЧНД</t>
        </is>
      </c>
      <c r="B68" s="6" t="inlineStr">
        <is>
          <t>3126</t>
        </is>
      </c>
      <c r="C68" s="6" t="inlineStr">
        <is>
          <t>ОУ</t>
        </is>
      </c>
      <c r="D68" s="11" t="inlineStr">
        <is>
          <t>Не подписан</t>
        </is>
      </c>
      <c r="E68" s="6" t="inlineStr">
        <is>
          <t>24.09.2026</t>
        </is>
      </c>
      <c r="F68" s="6" t="inlineStr">
        <is>
          <t>Очистная установка (поз. 03PA1203) — второй акт в папке 1558, содержание не разбиралось</t>
        </is>
      </c>
      <c r="G68" s="5" t="inlineStr">
        <is>
          <t>открыть</t>
        </is>
      </c>
      <c r="H68" s="18" t="inlineStr">
        <is>
          <t>База данных Альфа-пром — в 2.Open НЕ загружен</t>
        </is>
      </c>
    </row>
    <row r="69" ht="26.4" customHeight="1" s="19">
      <c r="A69" s="6" t="inlineStr">
        <is>
          <t>1556-3126-РСВ-ВК-ЧНД</t>
        </is>
      </c>
      <c r="B69" s="6" t="inlineStr">
        <is>
          <t>3126</t>
        </is>
      </c>
      <c r="C69" s="6" t="inlineStr">
        <is>
          <t>РСВ</t>
        </is>
      </c>
      <c r="D69" s="11" t="inlineStr">
        <is>
          <t>Не подписан</t>
        </is>
      </c>
      <c r="E69" s="6" t="inlineStr">
        <is>
          <t>07.02.2026</t>
        </is>
      </c>
      <c r="F69" s="6" t="inlineStr">
        <is>
          <t>Резервуар маслосборника SDCYG-60-00, зав. № M25008, поз. 03PA1202</t>
        </is>
      </c>
      <c r="G69" s="5" t="inlineStr">
        <is>
          <t>открыть</t>
        </is>
      </c>
      <c r="H69" s="18" t="inlineStr">
        <is>
          <t>База данных Альфа-пром — в 2.Open НЕ загружен</t>
        </is>
      </c>
    </row>
  </sheetData>
  <autoFilter ref="A4:H69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</hyperlinks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1" customWidth="1" style="19" min="1" max="1"/>
    <col width="12" customWidth="1" style="19" min="2" max="3"/>
    <col width="70" customWidth="1" style="19" min="4" max="5"/>
    <col width="10" customWidth="1" style="19" min="6" max="6"/>
  </cols>
  <sheetData>
    <row r="1" ht="15.6" customHeight="1" s="19">
      <c r="A1" s="10" t="inlineStr">
        <is>
          <t>Анализ RFI (CHENGDA-MU-IC) по оборудованию и материалам подстанции</t>
        </is>
      </c>
    </row>
    <row r="2">
      <c r="A2" s="2" t="inlineStr">
        <is>
          <t>Статус «Отклонён» — в папке RFI есть скан «… Rejected.pdf». Ссылка ведёт на папку RFI в Nextcloud.</t>
        </is>
      </c>
    </row>
    <row r="4" ht="42" customHeight="1" s="19">
      <c r="A4" s="4" t="inlineStr">
        <is>
          <t>RFI</t>
        </is>
      </c>
      <c r="B4" s="4" t="inlineStr">
        <is>
          <t>Статус</t>
        </is>
      </c>
      <c r="C4" s="4" t="inlineStr">
        <is>
          <t>Дата инспекции</t>
        </is>
      </c>
      <c r="D4" s="4" t="inlineStr">
        <is>
          <t>Содержание RFI (зав. №, если есть)</t>
        </is>
      </c>
      <c r="E4" s="4" t="inlineStr">
        <is>
          <t>К чему относится / АоРПИ / вывод</t>
        </is>
      </c>
      <c r="F4" s="4" t="inlineStr">
        <is>
          <t>Папка</t>
        </is>
      </c>
    </row>
    <row r="5">
      <c r="A5" s="6" t="inlineStr">
        <is>
          <t>1292-1</t>
        </is>
      </c>
      <c r="B5" s="15" t="inlineStr">
        <is>
          <t>Принят</t>
        </is>
      </c>
      <c r="C5" s="6" t="inlineStr">
        <is>
          <t>10.01.2026</t>
        </is>
      </c>
      <c r="D5" s="6" t="inlineStr">
        <is>
          <t>Кран 03L1201 FHU10-15-9 A3 + ЗИП (паспорт E19006-PO-064-TP-0001-41)</t>
        </is>
      </c>
      <c r="E5" s="6" t="inlineStr">
        <is>
          <t>ЭС3 поз. 1.6–1.7; зав. № крана в RFI не указан</t>
        </is>
      </c>
      <c r="F5" s="5" t="inlineStr">
        <is>
          <t>открыть</t>
        </is>
      </c>
    </row>
    <row r="6">
      <c r="A6" s="6" t="inlineStr">
        <is>
          <t>1293-2</t>
        </is>
      </c>
      <c r="B6" s="15" t="inlineStr">
        <is>
          <t>Принят</t>
        </is>
      </c>
      <c r="C6" s="6" t="inlineStr">
        <is>
          <t>11.12.2025</t>
        </is>
      </c>
      <c r="D6" s="6" t="inlineStr">
        <is>
          <t>Трансформаторы ТРДН-63000/220 0312TRE01/02 + комплектующие</t>
        </is>
      </c>
      <c r="E6" s="6" t="inlineStr">
        <is>
          <t>ЭС1; зав. № 005214V/005215V — в АоРПИ 477/478</t>
        </is>
      </c>
      <c r="F6" s="5" t="inlineStr">
        <is>
          <t>открыть</t>
        </is>
      </c>
    </row>
    <row r="7" ht="26.4" customHeight="1" s="19">
      <c r="A7" s="6" t="inlineStr">
        <is>
          <t>1332</t>
        </is>
      </c>
      <c r="B7" s="15" t="inlineStr">
        <is>
          <t>Принят</t>
        </is>
      </c>
      <c r="C7" s="6" t="inlineStr">
        <is>
          <t>31.10.2025</t>
        </is>
      </c>
      <c r="D7" s="6" t="inlineStr">
        <is>
          <t>Токопроводы GM-12/2000 — 24 к-т, GM-12/800 — 2 к-т (PO-073)</t>
        </is>
      </c>
      <c r="E7" s="6" t="inlineStr">
        <is>
          <t>Возможно ЭС1 (токопроводы 10 кВ) — привязку к титулу сверить; 1332-1 отклонён</t>
        </is>
      </c>
      <c r="F7" s="5" t="inlineStr">
        <is>
          <t>открыть</t>
        </is>
      </c>
    </row>
    <row r="8">
      <c r="A8" s="6" t="inlineStr">
        <is>
          <t>1379</t>
        </is>
      </c>
      <c r="B8" s="15" t="inlineStr">
        <is>
          <t>Принят</t>
        </is>
      </c>
      <c r="C8" s="6" t="inlineStr">
        <is>
          <t>01.12.2025</t>
        </is>
      </c>
      <c r="D8" s="6" t="inlineStr">
        <is>
          <t>ТЛСЗ-400/10 УХЛ2, зав. № 5842, 5843</t>
        </is>
      </c>
      <c r="E8" s="6" t="inlineStr">
        <is>
          <t>ЭС3 ТСН1/ТСН2 → АоРПИ 805 подписан</t>
        </is>
      </c>
      <c r="F8" s="5" t="inlineStr">
        <is>
          <t>открыть</t>
        </is>
      </c>
    </row>
    <row r="9" ht="26.4" customHeight="1" s="19">
      <c r="A9" s="6" t="inlineStr">
        <is>
          <t>1380</t>
        </is>
      </c>
      <c r="B9" s="15" t="inlineStr">
        <is>
          <t>Принят</t>
        </is>
      </c>
      <c r="C9" s="6" t="inlineStr">
        <is>
          <t>01.12.2025</t>
        </is>
      </c>
      <c r="D9" s="6" t="inlineStr">
        <is>
          <t>ДГР РДМР-500/10 № 975/976; ТМГ21-630/10 № 2152742/2152756; РГ-35 № 5/6; шкаф УАРК-105М № 25.07.25.187.1; ОПНп-10 № 1201–1212</t>
        </is>
      </c>
      <c r="E9" s="6" t="inlineStr">
        <is>
          <t>ЭС2 поз. 1.4–1.6; АоРПИ только на ДГР (651, подписан 01.12.2025)</t>
        </is>
      </c>
      <c r="F9" s="5" t="inlineStr">
        <is>
          <t>открыть</t>
        </is>
      </c>
    </row>
    <row r="10" ht="26.4" customHeight="1" s="19">
      <c r="A10" s="6" t="inlineStr">
        <is>
          <t>1403</t>
        </is>
      </c>
      <c r="B10" s="15" t="inlineStr">
        <is>
          <t>Принят</t>
        </is>
      </c>
      <c r="C10" s="6" t="inlineStr">
        <is>
          <t>11.12.2025</t>
        </is>
      </c>
      <c r="D10" s="6" t="inlineStr">
        <is>
          <t>ЩПТ №1 зав. 25002, ЩПТ №2 зав. 25003, ПНЗП-М зав. 24220/24221, стеллажи, АКБ</t>
        </is>
      </c>
      <c r="E10" s="6" t="inlineStr">
        <is>
          <t>ЭС3 поз. 1.3–1.5 → АоРПИ 816 (не подписан)</t>
        </is>
      </c>
      <c r="F10" s="5" t="inlineStr">
        <is>
          <t>открыть</t>
        </is>
      </c>
    </row>
    <row r="11" ht="66" customHeight="1" s="19">
      <c r="A11" s="6" t="inlineStr">
        <is>
          <t>1440</t>
        </is>
      </c>
      <c r="B11" s="18" t="inlineStr">
        <is>
          <t>Отклонён</t>
        </is>
      </c>
      <c r="C11" s="6" t="inlineStr">
        <is>
          <t>26.01.2026</t>
        </is>
      </c>
      <c r="D11" s="6" t="inlineStr">
        <is>
          <t>КРУЭ 220 кВ ZF28-252, зав. № SGF24012NSD01…NSD04 + 409 поз. (Прил. 2, в т.ч. ШМУ, система мониторинга)</t>
        </is>
      </c>
      <c r="E11" s="6" t="inlineStr">
        <is>
          <t>ЭС1 поз. КРУЭ/ШМУ. Повторного RFI нет, АоРПИ в папке ВК нет. 22.09.2026 Чэнда прислали по RFI 1440 (TRM E19006-TM-CH&amp;NH-VP-18712): CRS_E19006-PO-062-TP-0007_1A (код 2, 1 замечание — IOM, исправлено) и TP-0007 1B — это паспорта только на 12 ОПН-220 (зав. № 253392–253403, ОТК 14.11.2025). По КРУЭ ZF28-252 паспорта с зав. № по-прежнему нет</t>
        </is>
      </c>
      <c r="F11" s="5" t="inlineStr">
        <is>
          <t>открыть</t>
        </is>
      </c>
    </row>
    <row r="12" ht="26.4" customHeight="1" s="19">
      <c r="A12" s="6" t="inlineStr">
        <is>
          <t>1440(1)</t>
        </is>
      </c>
      <c r="B12" s="15" t="inlineStr">
        <is>
          <t>Принят</t>
        </is>
      </c>
      <c r="C12" s="6" t="inlineStr">
        <is>
          <t>10.08.2026</t>
        </is>
      </c>
      <c r="D12" s="6" t="inlineStr">
        <is>
          <t>ОПНп-220/680/163-10-IV УХЛ1 — 12 шт, зав. № 253392–253403</t>
        </is>
      </c>
      <c r="E12" s="6" t="inlineStr">
        <is>
          <t>ЭС1 ОПН → АоРПИ 1248 (не подписан, без зав. №). Зав. № подтверждены паспортами TP-0007 1B</t>
        </is>
      </c>
      <c r="F12" s="5" t="inlineStr">
        <is>
          <t>открыть</t>
        </is>
      </c>
    </row>
    <row r="13">
      <c r="A13" s="6" t="inlineStr">
        <is>
          <t>1448</t>
        </is>
      </c>
      <c r="B13" s="15" t="inlineStr">
        <is>
          <t>Принят</t>
        </is>
      </c>
      <c r="C13" s="6" t="inlineStr">
        <is>
          <t>13.01.2026</t>
        </is>
      </c>
      <c r="D13" s="6" t="inlineStr">
        <is>
          <t>КРУ-10 кВ PO-184: 22 устройства КРУ-ЭЗ + шинные мосты, с зав. №</t>
        </is>
      </c>
      <c r="E13" s="6" t="inlineStr">
        <is>
          <t>ЭС2 → АоРПИ 720 подписан</t>
        </is>
      </c>
      <c r="F13" s="5" t="inlineStr">
        <is>
          <t>открыть</t>
        </is>
      </c>
    </row>
    <row r="14">
      <c r="A14" s="6" t="inlineStr">
        <is>
          <t>1465</t>
        </is>
      </c>
      <c r="B14" s="15" t="inlineStr">
        <is>
          <t>Принят</t>
        </is>
      </c>
      <c r="C14" s="6" t="inlineStr">
        <is>
          <t>20.01.2026</t>
        </is>
      </c>
      <c r="D14" s="6" t="inlineStr">
        <is>
          <t>Муфты 1ПКВТ-10, наконечники ТМ, оптика ДПТ-П, провод МГ16</t>
        </is>
      </c>
      <c r="E14" s="6" t="inlineStr">
        <is>
          <t>ЭС2/ЭО материалы → АоРПИ 652, 653</t>
        </is>
      </c>
      <c r="F14" s="5" t="inlineStr">
        <is>
          <t>открыть</t>
        </is>
      </c>
    </row>
    <row r="15">
      <c r="A15" s="6" t="inlineStr">
        <is>
          <t>1466</t>
        </is>
      </c>
      <c r="B15" s="15" t="inlineStr">
        <is>
          <t>Принят</t>
        </is>
      </c>
      <c r="C15" s="6" t="inlineStr">
        <is>
          <t>20.01.2026</t>
        </is>
      </c>
      <c r="D15" s="6" t="inlineStr">
        <is>
          <t>Провод АС 300/66 — 618 м, зав. № 25ТТ-44</t>
        </is>
      </c>
      <c r="E15" s="6" t="inlineStr">
        <is>
          <t>ЭС1 материал → АоРПИ 702 подписан</t>
        </is>
      </c>
      <c r="F15" s="5" t="inlineStr">
        <is>
          <t>открыть</t>
        </is>
      </c>
    </row>
    <row r="16">
      <c r="A16" s="6" t="inlineStr">
        <is>
          <t>1472</t>
        </is>
      </c>
      <c r="B16" s="18" t="inlineStr">
        <is>
          <t>Отклонён</t>
        </is>
      </c>
      <c r="C16" s="6" t="inlineStr">
        <is>
          <t>23.01.2026</t>
        </is>
      </c>
      <c r="D16" s="6" t="inlineStr">
        <is>
          <t>Кабельные лотки PO-232 (Прил. 1)</t>
        </is>
      </c>
      <c r="E16" s="6" t="inlineStr">
        <is>
          <t>см. 1472-1</t>
        </is>
      </c>
      <c r="F16" s="5" t="inlineStr">
        <is>
          <t>открыть</t>
        </is>
      </c>
    </row>
    <row r="17" ht="26.4" customHeight="1" s="19">
      <c r="A17" s="6" t="inlineStr">
        <is>
          <t>1472-1</t>
        </is>
      </c>
      <c r="B17" s="15" t="inlineStr">
        <is>
          <t>Принят</t>
        </is>
      </c>
      <c r="C17" s="6" t="inlineStr">
        <is>
          <t>13.02.2026</t>
        </is>
      </c>
      <c r="D17" s="6" t="inlineStr">
        <is>
          <t>Лотки PO-232: прямые 600×200, 400×200, 300×150, 200×100, 100×50, 50×50, фасонные элементы, пластины, болты, проводник 16 мм² — 105 строк</t>
        </is>
      </c>
      <c r="E17" s="6" t="inlineStr">
        <is>
          <t>Материалы (не оборудование). Титул в RFI не указан; АоРПИ на эти лотки по 312х не найден</t>
        </is>
      </c>
      <c r="F17" s="5" t="inlineStr">
        <is>
          <t>открыть</t>
        </is>
      </c>
    </row>
    <row r="18" ht="26.4" customHeight="1" s="19">
      <c r="A18" s="6" t="inlineStr">
        <is>
          <t>1545</t>
        </is>
      </c>
      <c r="B18" s="15" t="inlineStr">
        <is>
          <t>Принят</t>
        </is>
      </c>
      <c r="C18" s="6" t="inlineStr">
        <is>
          <t>07.03.2026</t>
        </is>
      </c>
      <c r="D18" s="6" t="inlineStr">
        <is>
          <t>ЯТП-0,25 230/24 — 9 шт, С-профиль, РОА-300-1, этикетки, изоляторы ПСД-70Е</t>
        </is>
      </c>
      <c r="E18" s="6" t="inlineStr">
        <is>
          <t>ЭО ЯТП; АоРПИ нет</t>
        </is>
      </c>
      <c r="F18" s="5" t="inlineStr">
        <is>
          <t>открыть</t>
        </is>
      </c>
    </row>
    <row r="19" ht="26.4" customHeight="1" s="19">
      <c r="A19" s="6" t="inlineStr">
        <is>
          <t>1556</t>
        </is>
      </c>
      <c r="B19" s="15" t="inlineStr">
        <is>
          <t>Принят</t>
        </is>
      </c>
      <c r="C19" s="6" t="inlineStr">
        <is>
          <t>21.04.2026</t>
        </is>
      </c>
      <c r="D19" s="6" t="inlineStr">
        <is>
          <t>Шкафы РЗА/АСУЭ/АИИСКУЭ PO-196 — 47 шкафов с зав. № (10589/1…45, 35323/35324, 2025-Ш…, ЮИ-25-1273-1-001…004)</t>
        </is>
      </c>
      <c r="E19" s="6" t="inlineStr">
        <is>
          <t>ЭС4, АСУЭ, АИИСКУЭ → АоРПИ 961 (не подписан), 763 (подписан), 781 (не подписан)</t>
        </is>
      </c>
      <c r="F19" s="5" t="inlineStr">
        <is>
          <t>открыть</t>
        </is>
      </c>
    </row>
    <row r="20" ht="26.4" customHeight="1" s="19">
      <c r="A20" s="6" t="inlineStr">
        <is>
          <t>1556(1)-1</t>
        </is>
      </c>
      <c r="B20" s="15" t="inlineStr">
        <is>
          <t>Принят</t>
        </is>
      </c>
      <c r="C20" s="6" t="inlineStr">
        <is>
          <t>26.05.2026</t>
        </is>
      </c>
      <c r="D20" s="6" t="inlineStr">
        <is>
          <t>Система мониторинга трансформаторов TDM: 3122ATMS1 № 1100, ATMS2 № 1101, 3121ATMS_PD № 273</t>
        </is>
      </c>
      <c r="E20" s="6" t="inlineStr">
        <is>
          <t>АСУЭ → АоРПИ 763 подписан</t>
        </is>
      </c>
      <c r="F20" s="5" t="inlineStr">
        <is>
          <t>открыть</t>
        </is>
      </c>
    </row>
    <row r="21" ht="26.4" customHeight="1" s="19">
      <c r="A21" s="6" t="inlineStr">
        <is>
          <t>1556(2)</t>
        </is>
      </c>
      <c r="B21" s="15" t="inlineStr">
        <is>
          <t>Принят</t>
        </is>
      </c>
      <c r="C21" s="6" t="inlineStr">
        <is>
          <t>19.05.2026</t>
        </is>
      </c>
      <c r="D21" s="6" t="inlineStr">
        <is>
          <t>ЗИП PO-196: датчики ДТС125М, метеостанция PWS-600R, ЭНИП-2 и др. (142 строки)</t>
        </is>
      </c>
      <c r="E21" s="6" t="inlineStr">
        <is>
          <t>АСУЭ/ЭС4 ЗИП; АоРПИ нет</t>
        </is>
      </c>
      <c r="F21" s="5" t="inlineStr">
        <is>
          <t>открыть</t>
        </is>
      </c>
    </row>
    <row r="22">
      <c r="A22" s="6" t="inlineStr">
        <is>
          <t>1560-1</t>
        </is>
      </c>
      <c r="B22" s="18" t="inlineStr">
        <is>
          <t>Отклонён</t>
        </is>
      </c>
      <c r="C22" s="6" t="inlineStr">
        <is>
          <t>20.03.2026</t>
        </is>
      </c>
      <c r="D22" s="6" t="inlineStr">
        <is>
          <t>Щиты 0,4 кВ PO-185 (упаковочные листы: щит РТНЛ.656002.901 № 189-25)</t>
        </is>
      </c>
      <c r="E22" s="6" t="inlineStr">
        <is>
          <t>ЭС3 ЩСН — уточнить № 189-25 vs 297-25</t>
        </is>
      </c>
      <c r="F22" s="5" t="inlineStr">
        <is>
          <t>открыть</t>
        </is>
      </c>
    </row>
    <row r="23">
      <c r="A23" s="6" t="inlineStr">
        <is>
          <t>1560-2</t>
        </is>
      </c>
      <c r="B23" s="15" t="inlineStr">
        <is>
          <t>Принят</t>
        </is>
      </c>
      <c r="C23" s="6" t="inlineStr">
        <is>
          <t>22.04.2026</t>
        </is>
      </c>
      <c r="D23" s="6" t="inlineStr">
        <is>
          <t>Щит распределительный 0,4 кВ (ЩСН), зав. № 297-25, поз. 3121AA</t>
        </is>
      </c>
      <c r="E23" s="6" t="inlineStr">
        <is>
          <t>ЭС3 ЩСН → АоРПИ 806 подписан</t>
        </is>
      </c>
      <c r="F23" s="5" t="inlineStr">
        <is>
          <t>открыть</t>
        </is>
      </c>
    </row>
    <row r="24">
      <c r="A24" s="6" t="inlineStr">
        <is>
          <t>1565-1</t>
        </is>
      </c>
      <c r="B24" s="15" t="inlineStr">
        <is>
          <t>Принят</t>
        </is>
      </c>
      <c r="C24" s="6" t="inlineStr">
        <is>
          <t>20.06.2026</t>
        </is>
      </c>
      <c r="D24" s="6" t="inlineStr">
        <is>
          <t>Светильники LED PO-229-01 (аварийные лампы SZSW7150 и др.)</t>
        </is>
      </c>
      <c r="E24" s="6" t="inlineStr">
        <is>
          <t>ЭО светильники; АоРПИ 1070 (не подписан)</t>
        </is>
      </c>
      <c r="F24" s="5" t="inlineStr">
        <is>
          <t>открыть</t>
        </is>
      </c>
    </row>
    <row r="25">
      <c r="A25" s="6" t="inlineStr">
        <is>
          <t>1576</t>
        </is>
      </c>
      <c r="B25" s="18" t="inlineStr">
        <is>
          <t>Отклонён</t>
        </is>
      </c>
      <c r="C25" s="6" t="inlineStr">
        <is>
          <t>20.03.2026</t>
        </is>
      </c>
      <c r="D25" s="6" t="inlineStr">
        <is>
          <t>Кабели, громкоговорители, оповещатели PO-219</t>
        </is>
      </c>
      <c r="E25" s="6" t="inlineStr">
        <is>
          <t>см. 1576-1</t>
        </is>
      </c>
      <c r="F25" s="5" t="inlineStr">
        <is>
          <t>открыть</t>
        </is>
      </c>
    </row>
    <row r="26" ht="52.8" customHeight="1" s="19">
      <c r="A26" s="6" t="inlineStr">
        <is>
          <t>1576-1</t>
        </is>
      </c>
      <c r="B26" s="15" t="inlineStr">
        <is>
          <t>Принят</t>
        </is>
      </c>
      <c r="C26" s="6" t="inlineStr">
        <is>
          <t>21.09.2026</t>
        </is>
      </c>
      <c r="D26" s="6" t="inlineStr">
        <is>
          <t>КПСВВнг(А)-LS 1x2x2,5 — 800 м; громкоговорители LPA-6W — 41, LPA-10W3 — 2; оповещатель GL-30 — 4; КПСнг(А)-FRLS 1x2x1,5 — 386; коробки JBS100 — 8</t>
        </is>
      </c>
      <c r="E26" s="6" t="inlineStr">
        <is>
          <t>СС 3121/3123 (громкоговорители, GL-30). АоРПИ на громкоговорители нет; по кабелю — 1102-3121-СКУД (163 м, не подписан). Паспорт PO-219-TP-0001 1B: LPA-6W стр. 394–395, LPA-10W3 стр. 396–397, GL-30 стр. 398–400, КПСВВнг 1х2х2,5 стр. 145 — сканы, зав. № в тексте нет</t>
        </is>
      </c>
      <c r="F26" s="5" t="inlineStr">
        <is>
          <t>открыть</t>
        </is>
      </c>
    </row>
    <row r="27" ht="26.4" customHeight="1" s="19">
      <c r="A27" s="6" t="inlineStr">
        <is>
          <t>1610-2</t>
        </is>
      </c>
      <c r="B27" s="15" t="inlineStr">
        <is>
          <t>Принят</t>
        </is>
      </c>
      <c r="C27" s="6" t="inlineStr">
        <is>
          <t>10.06.2026</t>
        </is>
      </c>
      <c r="D27" s="6" t="inlineStr">
        <is>
          <t>МСУ HLFX01-A2D1G № 2601-00036…00043 (8 шт), выключатели HLFX01-K1G № 2601-00047…00055 (9 шт)</t>
        </is>
      </c>
      <c r="E27" s="6" t="inlineStr">
        <is>
          <t>ЭС3 поз. 1.24–1.25 → АоРПИ 1080 (подписан 10.06.2026)</t>
        </is>
      </c>
      <c r="F27" s="5" t="inlineStr">
        <is>
          <t>открыть</t>
        </is>
      </c>
    </row>
    <row r="28">
      <c r="A28" s="6" t="inlineStr">
        <is>
          <t>1614</t>
        </is>
      </c>
      <c r="B28" s="18" t="inlineStr">
        <is>
          <t>Отклонён</t>
        </is>
      </c>
      <c r="C28" s="6" t="inlineStr">
        <is>
          <t>30.03.2026</t>
        </is>
      </c>
      <c r="D28" s="6" t="inlineStr">
        <is>
          <t>Кабели PO-230 (69 строк)</t>
        </is>
      </c>
      <c r="E28" s="6" t="inlineStr">
        <is>
          <t>см. 1614-1</t>
        </is>
      </c>
      <c r="F28" s="5" t="inlineStr">
        <is>
          <t>открыть</t>
        </is>
      </c>
    </row>
    <row r="29" ht="39.6" customHeight="1" s="19">
      <c r="A29" s="6" t="inlineStr">
        <is>
          <t>1614-1</t>
        </is>
      </c>
      <c r="B29" s="15" t="inlineStr">
        <is>
          <t>Принят</t>
        </is>
      </c>
      <c r="C29" s="6" t="inlineStr">
        <is>
          <t>16.06.2026</t>
        </is>
      </c>
      <c r="D29" s="6" t="inlineStr">
        <is>
          <t>Кабели «Main-substation»: ZA-DJVVP 1×2×1,0 — 1850 м; ZA-DJVPVP 2×2×1,0 — 1025; ZA-KVVP 2×1,5 — 970; 10×1,5 — 290; 16×1,5 — 130; CAT5E — 70; ZA-RV 1×6 — 60</t>
        </is>
      </c>
      <c r="E29" s="6" t="inlineStr">
        <is>
          <t>АОВ 3121/3123 → АоРПИ 1115-3121-АОВ (не подписан, 1650/1000/900/130/130/20 м); 1205-3123 (2.Open, не подписан), 1206-3121 (не подписан, в 2.Open не загружен)</t>
        </is>
      </c>
      <c r="F29" s="5" t="inlineStr">
        <is>
          <t>открыть</t>
        </is>
      </c>
    </row>
    <row r="30">
      <c r="A30" s="6" t="inlineStr">
        <is>
          <t>1709</t>
        </is>
      </c>
      <c r="B30" s="15" t="inlineStr">
        <is>
          <t>Принят</t>
        </is>
      </c>
      <c r="C30" s="6" t="inlineStr">
        <is>
          <t>05.05.2026</t>
        </is>
      </c>
      <c r="D30" s="6" t="inlineStr">
        <is>
          <t>Кабель ZA-KVVP 3×1,5 — 1500 м (PO-320 SH73)</t>
        </is>
      </c>
      <c r="E30" s="6" t="inlineStr">
        <is>
          <t>Кабель; титул в RFI не указан. АоРПИ по 312х не найден</t>
        </is>
      </c>
      <c r="F30" s="5" t="inlineStr">
        <is>
          <t>открыть</t>
        </is>
      </c>
    </row>
    <row r="31" ht="26.4" customHeight="1" s="19">
      <c r="A31" s="6" t="inlineStr">
        <is>
          <t>1709(1)</t>
        </is>
      </c>
      <c r="B31" s="15" t="inlineStr">
        <is>
          <t>Принят</t>
        </is>
      </c>
      <c r="C31" s="6" t="inlineStr">
        <is>
          <t>05.05.2026</t>
        </is>
      </c>
      <c r="D31" s="6" t="inlineStr">
        <is>
          <t>WDZA-KYJYP 10×1,5 / 14×1,5 / 19×1,5 / 7×2,5, WDZA-YJY 2×2,5, ZA-KVVP 5×2,5 — по 1500 м</t>
        </is>
      </c>
      <c r="E31" s="6" t="inlineStr">
        <is>
          <t>Контрольный кабель (марки как в ЭС4/ЭС5). АоРПИ: 743-3120-ЭС5 (не подписан) по WDZA-KYJYP/YJY</t>
        </is>
      </c>
      <c r="F31" s="5" t="inlineStr">
        <is>
          <t>открыть</t>
        </is>
      </c>
    </row>
    <row r="32" ht="26.4" customHeight="1" s="19">
      <c r="A32" s="6" t="inlineStr">
        <is>
          <t>1767</t>
        </is>
      </c>
      <c r="B32" s="15" t="inlineStr">
        <is>
          <t>Принят</t>
        </is>
      </c>
      <c r="C32" s="6" t="inlineStr">
        <is>
          <t>24.06.2026</t>
        </is>
      </c>
      <c r="D32" s="6" t="inlineStr">
        <is>
          <t>Шкаф средств измерений с 4 счётчиками Бреслер-0117.985.04, зав. № 10589-3/1; датчики ДТС125М — 3</t>
        </is>
      </c>
      <c r="E32" s="6" t="inlineStr">
        <is>
          <t>АИИСКУЭ (позиции нет в СО 4А) — АоРПИ нет</t>
        </is>
      </c>
      <c r="F32" s="5" t="inlineStr">
        <is>
          <t>открыть</t>
        </is>
      </c>
    </row>
    <row r="33" ht="39.6" customHeight="1" s="19">
      <c r="A33" s="6" t="inlineStr">
        <is>
          <t>1828</t>
        </is>
      </c>
      <c r="B33" s="18" t="inlineStr">
        <is>
          <t>Отклонён</t>
        </is>
      </c>
      <c r="C33" s="6" t="inlineStr">
        <is>
          <t>11.06.2026</t>
        </is>
      </c>
      <c r="D33" s="6" t="inlineStr">
        <is>
          <t>Телеком PO-219 для 3120/3121/3123/1503: СГЭП, АКБ VEKTOR, шкафы 42U (3), Пунктир-БИ-А, SL-200QN, ГСД3-24, монитор, KVM, LBC-8, UMZ16, МС04-DSL, кроссы и др.</t>
        </is>
      </c>
      <c r="E33" s="6" t="inlineStr">
        <is>
          <t>СС/ОС/СОО/СОТ/ПС/СКУД. Зав. № в RFI нет; паспорт E19006-PO-219-TP-0001 — скан без распознанного текста. Повторного RFI не найдено</t>
        </is>
      </c>
      <c r="F33" s="5" t="inlineStr">
        <is>
          <t>открыть</t>
        </is>
      </c>
    </row>
    <row r="35">
      <c r="A35" s="2" t="inlineStr">
        <is>
          <t>Паспорт по ссылке PO-029 (PO-029_TP-0001~0002_1C) — дымосос FGB-01K2001 и вентилятор CAB-01K2002 (технологическая часть), к подстанции не относится. К RFI 1828 относится паспорт E19006-PO-219-TP-0001 (1A/1B) — скан без распознанного текста, зав. № в нём извлечь не удалось.</t>
        </is>
      </c>
      <c r="F35" t="inlineStr">
        <is>
          <t>PO-219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5" r:id="rId30"/>
  </hyperlinks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34" customWidth="1" style="19" min="1" max="2"/>
    <col width="60" customWidth="1" style="19" min="3" max="3"/>
    <col width="44" customWidth="1" style="19" min="4" max="4"/>
    <col width="60" customWidth="1" style="19" min="5" max="5"/>
  </cols>
  <sheetData>
    <row r="1" ht="15.6" customHeight="1" s="19">
      <c r="A1" s="10" t="inlineStr">
        <is>
          <t>Паспорта (TP), полученные по RFI 1440 и 1576/1828 — анализ</t>
        </is>
      </c>
    </row>
    <row r="3" ht="42" customHeight="1" s="19">
      <c r="A3" s="4" t="inlineStr">
        <is>
          <t>Документ</t>
        </is>
      </c>
      <c r="B3" s="4" t="inlineStr">
        <is>
          <t>Ревизия / статус</t>
        </is>
      </c>
      <c r="C3" s="4" t="inlineStr">
        <is>
          <t>Что внутри</t>
        </is>
      </c>
      <c r="D3" s="4" t="inlineStr">
        <is>
          <t>Заводские номера</t>
        </is>
      </c>
      <c r="E3" s="4" t="inlineStr">
        <is>
          <t>Вывод для свода</t>
        </is>
      </c>
    </row>
    <row r="4" ht="39.6" customHeight="1" s="19">
      <c r="A4" s="6" t="inlineStr">
        <is>
          <t>E19006-TM-CH&amp;NH-VP-18712 (трансмиттал Чэнда)</t>
        </is>
      </c>
      <c r="B4" s="6" t="inlineStr">
        <is>
          <t>22.09.2026, Issued for Approval</t>
        </is>
      </c>
      <c r="C4" s="6" t="inlineStr">
        <is>
          <t>Передача на рассмотрение: CRS_E19006-PO-062-TP-0007_1A и E19006-PO-062-TP-0007 1B «TP of Open type lightning arrester» (PO-062, RFI 1440)</t>
        </is>
      </c>
      <c r="D4" s="6" t="inlineStr">
        <is>
          <t>—</t>
        </is>
      </c>
      <c r="E4" s="6" t="inlineStr">
        <is>
          <t>Документы по RFI 1440 касаются только ОПН-220, не КРУЭ</t>
        </is>
      </c>
    </row>
    <row r="5" ht="39.6" customHeight="1" s="19">
      <c r="A5" s="6" t="inlineStr">
        <is>
          <t>CRS_E19006-PO-062-TP-0007_1A</t>
        </is>
      </c>
      <c r="B5" s="6" t="inlineStr">
        <is>
          <t>Код 2 (незначительные замечания), TRM E19006-TM-NFP-CH-VP-32645 от 10.06.2026</t>
        </is>
      </c>
      <c r="C5" s="6" t="inlineStr">
        <is>
          <t>1 замечание (Бондарева О.А.): «IOM shall be provided as per section 4» — ответ Чэнда «Changed» 20.09.2026</t>
        </is>
      </c>
      <c r="D5" s="6" t="inlineStr">
        <is>
          <t>—</t>
        </is>
      </c>
      <c r="E5" s="6" t="inlineStr">
        <is>
          <t>Замечание закрыто в ревизии 1B; нужно рассмотрение 1B заказчиком</t>
        </is>
      </c>
    </row>
    <row r="6" ht="52.8" customHeight="1" s="19">
      <c r="A6" s="6" t="inlineStr">
        <is>
          <t>E19006-PO-062-TP-0007 1B</t>
        </is>
      </c>
      <c r="B6" s="6" t="inlineStr">
        <is>
          <t>1B от 22.09.2026, Issued for Approval (60 стр.)</t>
        </is>
      </c>
      <c r="C6" s="6" t="inlineStr">
        <is>
          <t>12 паспортов ОПНп-220/680/163-10-IV УХЛ1 (АО «Полимер-Аппарат»): технические данные, свидетельства о приёмке, руководство по монтажу (модули №1 и №2)</t>
        </is>
      </c>
      <c r="D6" s="6" t="inlineStr">
        <is>
          <t>253392, 253393, 253394, 253395, 253396, 253397, 253398, 253399, 253400, 253401, 253402, 253403 — ОТК 14.11.2025</t>
        </is>
      </c>
      <c r="E6" s="6" t="inlineStr">
        <is>
          <t>Совпадает с RFI 1440(1) и СО ЭС1 (12 шт). Номера перенесены во вкладку 3120 ЭС1; в АоРПИ 1248 (не подписан) их нужно дописать. По КРУЭ ZF28-252 (SGF24012NSD01–04) паспортов с зав. № в этих документах нет</t>
        </is>
      </c>
    </row>
    <row r="7" ht="39.6" customHeight="1" s="19">
      <c r="A7" s="6" t="inlineStr">
        <is>
          <t>CRS_E19006-PO-219-TP-0001_1A</t>
        </is>
      </c>
      <c r="B7" s="6" t="inlineStr">
        <is>
          <t>Код 3 (существенные замечания), TRM E19006-TM-NFP-CH-VP-30213 от 30.03.2026</t>
        </is>
      </c>
      <c r="C7" s="6" t="inlineStr">
        <is>
          <t>2 замечания: предоставить матрицу сертификации и ТР ТС/ЕАЭС; указать в содержании наименование, изготовителя, модель — оба «Исправлено» (Белкина Е.)</t>
        </is>
      </c>
      <c r="D7" s="6" t="inlineStr">
        <is>
          <t>—</t>
        </is>
      </c>
      <c r="E7" s="6" t="inlineStr">
        <is>
          <t>Выпущена ревизия 1B</t>
        </is>
      </c>
    </row>
    <row r="8" ht="79.2" customHeight="1" s="19">
      <c r="A8" s="5" t="inlineStr">
        <is>
          <t>E19006-PO-219-TP-0001 1B (Technical Passport, АО «КРОК инкорпорейтед»)</t>
        </is>
      </c>
      <c r="B8" s="6" t="inlineStr">
        <is>
          <t>1B от 26.06.2026, Issued for Approval; 788 стр., в папке с 17.09.2026</t>
        </is>
      </c>
      <c r="C8" s="6" t="inlineStr">
        <is>
          <t>Содержание на 208+ позиций PO-219 (слаботочка 3120/3121/3123/3128): СКУД ААМ/Smartec, Болид, ЦМО, Maipu, ATEN, Линсис (LBC-8, UMZ16, LPA-6W, LPA-10W3, GL-30, LDP-E12), камеры IPTRONIC, TFortis PSW, Пунктир, СГЭП, МС04-DSL, Optex, Gigaset DECT, Yealink SIP-T30P, кабели</t>
        </is>
      </c>
      <c r="D8" s="6" t="inlineStr">
        <is>
          <t>В текстовом слое: сервер IPDROM PRO ki10122025_2sw — SL828335-001; системный блок IPDROM WS ki10122025_3sw — SL828335-002 (ОТК 29.04.2026); барабаны кабеля ВВГнг-LS 3х2,5 № 170126.245, 3х4 № Я.200126 (1465). ≈460 из 788 стр. — сканы без текста</t>
        </is>
      </c>
      <c r="E8" s="6" t="inlineStr">
        <is>
          <t>Паспорта в основном типовые (сертификаты, паспорта изделия без заполненного зав. №). Для позиций СО проставлена ссылка на страницы TP (столбец «Паспорт (TP)» во вкладках). IPDROM в СО подстанции не найден. Зав. № в сканах (СГЭП стр. 508–531, МС04-DSL стр. 532–542 и др.) требуют просмотра вручную</t>
        </is>
      </c>
    </row>
  </sheetData>
  <hyperlinks>
    <hyperlink xmlns:r="http://schemas.openxmlformats.org/officeDocument/2006/relationships" ref="A8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2026-09-28T03:09:55Z</dcterms:created>
  <dcterms:modified xsi:type="dcterms:W3CDTF">2026-09-28T03:58:35Z</dcterms:modified>
  <cp:lastModifiedBy>Альфа-Пром</cp:lastModifiedBy>
  <cp:revision>0</cp:revision>
</cp:coreProperties>
</file>